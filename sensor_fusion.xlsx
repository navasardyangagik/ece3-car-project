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gagik/Downloads/"/>
    </mc:Choice>
  </mc:AlternateContent>
  <xr:revisionPtr revIDLastSave="0" documentId="11_780A00DF3140838408EC8A5278D005B919F6D0F8" xr6:coauthVersionLast="47" xr6:coauthVersionMax="47" xr10:uidLastSave="{00000000-0000-0000-0000-000000000000}"/>
  <bookViews>
    <workbookView xWindow="0" yWindow="780" windowWidth="34960" windowHeight="22300" tabRatio="500" xr2:uid="{00000000-000D-0000-FFFF-FFFF00000000}"/>
  </bookViews>
  <sheets>
    <sheet name="SENSOR FUSION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4" i="1" l="1"/>
  <c r="H24" i="1"/>
  <c r="Q20" i="1" s="1"/>
  <c r="G24" i="1"/>
  <c r="P23" i="1" s="1"/>
  <c r="F24" i="1"/>
  <c r="O23" i="1" s="1"/>
  <c r="E24" i="1"/>
  <c r="N6" i="1" s="1"/>
  <c r="D24" i="1"/>
  <c r="C24" i="1"/>
  <c r="B24" i="1"/>
  <c r="K23" i="1" s="1"/>
  <c r="AB23" i="1"/>
  <c r="S23" i="1"/>
  <c r="R23" i="1"/>
  <c r="AA23" i="1" s="1"/>
  <c r="Q23" i="1"/>
  <c r="J23" i="1"/>
  <c r="AB22" i="1"/>
  <c r="S22" i="1"/>
  <c r="R22" i="1"/>
  <c r="Q22" i="1"/>
  <c r="P22" i="1"/>
  <c r="O22" i="1"/>
  <c r="J22" i="1"/>
  <c r="AB21" i="1"/>
  <c r="Z21" i="1"/>
  <c r="S21" i="1"/>
  <c r="R21" i="1"/>
  <c r="Q21" i="1"/>
  <c r="P21" i="1"/>
  <c r="O21" i="1"/>
  <c r="N21" i="1"/>
  <c r="M21" i="1"/>
  <c r="L21" i="1"/>
  <c r="K21" i="1"/>
  <c r="J21" i="1"/>
  <c r="AB20" i="1"/>
  <c r="S20" i="1"/>
  <c r="R20" i="1"/>
  <c r="M20" i="1"/>
  <c r="K20" i="1"/>
  <c r="J20" i="1"/>
  <c r="AB19" i="1"/>
  <c r="S19" i="1"/>
  <c r="R19" i="1"/>
  <c r="Q19" i="1"/>
  <c r="K19" i="1"/>
  <c r="J19" i="1"/>
  <c r="AB18" i="1"/>
  <c r="S18" i="1"/>
  <c r="R18" i="1"/>
  <c r="Q18" i="1"/>
  <c r="P18" i="1"/>
  <c r="O18" i="1"/>
  <c r="J18" i="1"/>
  <c r="AB17" i="1"/>
  <c r="S17" i="1"/>
  <c r="R17" i="1"/>
  <c r="Q17" i="1"/>
  <c r="P17" i="1"/>
  <c r="O17" i="1"/>
  <c r="K17" i="1"/>
  <c r="J17" i="1"/>
  <c r="AB16" i="1"/>
  <c r="S16" i="1"/>
  <c r="R16" i="1"/>
  <c r="K16" i="1"/>
  <c r="J16" i="1"/>
  <c r="AB15" i="1"/>
  <c r="S15" i="1"/>
  <c r="R15" i="1"/>
  <c r="Q15" i="1"/>
  <c r="K15" i="1"/>
  <c r="J15" i="1"/>
  <c r="AB14" i="1"/>
  <c r="S14" i="1"/>
  <c r="R14" i="1"/>
  <c r="Q14" i="1"/>
  <c r="P14" i="1"/>
  <c r="O14" i="1"/>
  <c r="N14" i="1"/>
  <c r="W14" i="1" s="1"/>
  <c r="J14" i="1"/>
  <c r="AB13" i="1"/>
  <c r="S13" i="1"/>
  <c r="R13" i="1"/>
  <c r="Q13" i="1"/>
  <c r="P13" i="1"/>
  <c r="O13" i="1"/>
  <c r="N13" i="1"/>
  <c r="K13" i="1"/>
  <c r="J13" i="1"/>
  <c r="AB12" i="1"/>
  <c r="S12" i="1"/>
  <c r="R12" i="1"/>
  <c r="K12" i="1"/>
  <c r="J12" i="1"/>
  <c r="AB11" i="1"/>
  <c r="S11" i="1"/>
  <c r="R11" i="1"/>
  <c r="Q11" i="1"/>
  <c r="K11" i="1"/>
  <c r="J11" i="1"/>
  <c r="AB10" i="1"/>
  <c r="S10" i="1"/>
  <c r="R10" i="1"/>
  <c r="Q10" i="1"/>
  <c r="P10" i="1"/>
  <c r="O10" i="1"/>
  <c r="X10" i="1" s="1"/>
  <c r="J10" i="1"/>
  <c r="AB9" i="1"/>
  <c r="S9" i="1"/>
  <c r="R9" i="1"/>
  <c r="Q9" i="1"/>
  <c r="P9" i="1"/>
  <c r="Y9" i="1" s="1"/>
  <c r="O9" i="1"/>
  <c r="N9" i="1"/>
  <c r="M9" i="1"/>
  <c r="L9" i="1"/>
  <c r="K9" i="1"/>
  <c r="J9" i="1"/>
  <c r="AB8" i="1"/>
  <c r="S8" i="1"/>
  <c r="R8" i="1"/>
  <c r="N8" i="1"/>
  <c r="K8" i="1"/>
  <c r="J8" i="1"/>
  <c r="AB7" i="1"/>
  <c r="T7" i="1"/>
  <c r="S7" i="1"/>
  <c r="R7" i="1"/>
  <c r="Q7" i="1"/>
  <c r="K7" i="1"/>
  <c r="J7" i="1"/>
  <c r="AB6" i="1"/>
  <c r="S6" i="1"/>
  <c r="R6" i="1"/>
  <c r="Q6" i="1"/>
  <c r="P6" i="1"/>
  <c r="O6" i="1"/>
  <c r="J6" i="1"/>
  <c r="AB5" i="1"/>
  <c r="S5" i="1"/>
  <c r="R5" i="1"/>
  <c r="Q5" i="1"/>
  <c r="P5" i="1"/>
  <c r="O5" i="1"/>
  <c r="K5" i="1"/>
  <c r="J5" i="1"/>
  <c r="AB4" i="1"/>
  <c r="S4" i="1"/>
  <c r="R4" i="1"/>
  <c r="N4" i="1"/>
  <c r="M4" i="1"/>
  <c r="L4" i="1"/>
  <c r="K4" i="1"/>
  <c r="J4" i="1"/>
  <c r="AB3" i="1"/>
  <c r="S3" i="1"/>
  <c r="R3" i="1"/>
  <c r="Q3" i="1"/>
  <c r="K3" i="1"/>
  <c r="J3" i="1"/>
  <c r="AA6" i="1" l="1"/>
  <c r="AA18" i="1"/>
  <c r="L22" i="1"/>
  <c r="L18" i="1"/>
  <c r="L14" i="1"/>
  <c r="L10" i="1"/>
  <c r="U10" i="1" s="1"/>
  <c r="L6" i="1"/>
  <c r="L19" i="1"/>
  <c r="L15" i="1"/>
  <c r="L11" i="1"/>
  <c r="L3" i="1"/>
  <c r="L23" i="1"/>
  <c r="L7" i="1"/>
  <c r="AA15" i="1"/>
  <c r="L12" i="1"/>
  <c r="L17" i="1"/>
  <c r="AA3" i="1"/>
  <c r="M22" i="1"/>
  <c r="M18" i="1"/>
  <c r="M14" i="1"/>
  <c r="M10" i="1"/>
  <c r="M6" i="1"/>
  <c r="M3" i="1"/>
  <c r="M23" i="1"/>
  <c r="M19" i="1"/>
  <c r="M15" i="1"/>
  <c r="M11" i="1"/>
  <c r="M7" i="1"/>
  <c r="N5" i="1"/>
  <c r="M12" i="1"/>
  <c r="V12" i="1" s="1"/>
  <c r="M17" i="1"/>
  <c r="N23" i="1"/>
  <c r="N19" i="1"/>
  <c r="N15" i="1"/>
  <c r="N11" i="1"/>
  <c r="N7" i="1"/>
  <c r="N3" i="1"/>
  <c r="N20" i="1"/>
  <c r="L5" i="1"/>
  <c r="M16" i="1"/>
  <c r="N16" i="1"/>
  <c r="N12" i="1"/>
  <c r="N17" i="1"/>
  <c r="L16" i="1"/>
  <c r="N10" i="1"/>
  <c r="L8" i="1"/>
  <c r="L13" i="1"/>
  <c r="N22" i="1"/>
  <c r="M5" i="1"/>
  <c r="AA7" i="1"/>
  <c r="M8" i="1"/>
  <c r="M13" i="1"/>
  <c r="N18" i="1"/>
  <c r="L20" i="1"/>
  <c r="R24" i="1"/>
  <c r="O8" i="1"/>
  <c r="P8" i="1"/>
  <c r="Y8" i="1" s="1"/>
  <c r="P12" i="1"/>
  <c r="P16" i="1"/>
  <c r="P20" i="1"/>
  <c r="Q4" i="1"/>
  <c r="K6" i="1"/>
  <c r="Q8" i="1"/>
  <c r="K10" i="1"/>
  <c r="Q12" i="1"/>
  <c r="K14" i="1"/>
  <c r="K24" i="1" s="1"/>
  <c r="Q16" i="1"/>
  <c r="K18" i="1"/>
  <c r="K22" i="1"/>
  <c r="O4" i="1"/>
  <c r="O12" i="1"/>
  <c r="O16" i="1"/>
  <c r="O20" i="1"/>
  <c r="P4" i="1"/>
  <c r="O3" i="1"/>
  <c r="O7" i="1"/>
  <c r="O11" i="1"/>
  <c r="O15" i="1"/>
  <c r="O19" i="1"/>
  <c r="P3" i="1"/>
  <c r="P7" i="1"/>
  <c r="P11" i="1"/>
  <c r="Y11" i="1" s="1"/>
  <c r="P15" i="1"/>
  <c r="P19" i="1"/>
  <c r="T24" i="1" l="1"/>
  <c r="T8" i="1"/>
  <c r="T12" i="1"/>
  <c r="T20" i="1"/>
  <c r="T19" i="1"/>
  <c r="T15" i="1"/>
  <c r="T16" i="1"/>
  <c r="T17" i="1"/>
  <c r="T23" i="1"/>
  <c r="T11" i="1"/>
  <c r="T3" i="1"/>
  <c r="T21" i="1"/>
  <c r="T5" i="1"/>
  <c r="T13" i="1"/>
  <c r="T4" i="1"/>
  <c r="T9" i="1"/>
  <c r="V14" i="1"/>
  <c r="V10" i="1"/>
  <c r="Y19" i="1"/>
  <c r="Y15" i="1"/>
  <c r="W22" i="1"/>
  <c r="U14" i="1"/>
  <c r="V11" i="1"/>
  <c r="V15" i="1"/>
  <c r="N24" i="1"/>
  <c r="W7" i="1"/>
  <c r="W17" i="1"/>
  <c r="X8" i="1"/>
  <c r="AA24" i="1"/>
  <c r="AA16" i="1"/>
  <c r="AA8" i="1"/>
  <c r="AA20" i="1"/>
  <c r="AA12" i="1"/>
  <c r="AA4" i="1"/>
  <c r="AA10" i="1"/>
  <c r="AA21" i="1"/>
  <c r="AA13" i="1"/>
  <c r="AA5" i="1"/>
  <c r="AA17" i="1"/>
  <c r="AA9" i="1"/>
  <c r="T14" i="1"/>
  <c r="AA14" i="1"/>
  <c r="V5" i="1"/>
  <c r="X4" i="1"/>
  <c r="V22" i="1"/>
  <c r="U18" i="1"/>
  <c r="P24" i="1"/>
  <c r="V16" i="1"/>
  <c r="V23" i="1"/>
  <c r="L24" i="1"/>
  <c r="U7" i="1" s="1"/>
  <c r="U3" i="1"/>
  <c r="X16" i="1"/>
  <c r="Y12" i="1"/>
  <c r="T22" i="1"/>
  <c r="AA22" i="1"/>
  <c r="V13" i="1"/>
  <c r="W10" i="1"/>
  <c r="U5" i="1"/>
  <c r="AA11" i="1"/>
  <c r="M24" i="1"/>
  <c r="V19" i="1" s="1"/>
  <c r="V3" i="1"/>
  <c r="Y20" i="1"/>
  <c r="Y16" i="1"/>
  <c r="V18" i="1"/>
  <c r="Q24" i="1"/>
  <c r="T18" i="1"/>
  <c r="V7" i="1"/>
  <c r="AA19" i="1"/>
  <c r="V17" i="1"/>
  <c r="T10" i="1"/>
  <c r="O24" i="1"/>
  <c r="X19" i="1" s="1"/>
  <c r="Y4" i="1"/>
  <c r="T6" i="1"/>
  <c r="V8" i="1"/>
  <c r="V6" i="1"/>
  <c r="Z24" i="1" l="1"/>
  <c r="Z5" i="1"/>
  <c r="Z10" i="1"/>
  <c r="AD10" i="1" s="1"/>
  <c r="Z6" i="1"/>
  <c r="Z17" i="1"/>
  <c r="Z9" i="1"/>
  <c r="Z15" i="1"/>
  <c r="Z23" i="1"/>
  <c r="AC23" i="1" s="1"/>
  <c r="Z20" i="1"/>
  <c r="Z13" i="1"/>
  <c r="Z11" i="1"/>
  <c r="Z7" i="1"/>
  <c r="Z18" i="1"/>
  <c r="Z22" i="1"/>
  <c r="Z19" i="1"/>
  <c r="Z14" i="1"/>
  <c r="AC14" i="1" s="1"/>
  <c r="Z3" i="1"/>
  <c r="AD3" i="1" s="1"/>
  <c r="W24" i="1"/>
  <c r="W8" i="1"/>
  <c r="W9" i="1"/>
  <c r="W13" i="1"/>
  <c r="W6" i="1"/>
  <c r="W4" i="1"/>
  <c r="W21" i="1"/>
  <c r="U19" i="1"/>
  <c r="AD19" i="1" s="1"/>
  <c r="AC18" i="1"/>
  <c r="U12" i="1"/>
  <c r="AC12" i="1" s="1"/>
  <c r="W5" i="1"/>
  <c r="AD5" i="1" s="1"/>
  <c r="X7" i="1"/>
  <c r="AC7" i="1" s="1"/>
  <c r="U6" i="1"/>
  <c r="AC6" i="1" s="1"/>
  <c r="U24" i="1"/>
  <c r="U4" i="1"/>
  <c r="AD4" i="1" s="1"/>
  <c r="U21" i="1"/>
  <c r="AD21" i="1" s="1"/>
  <c r="U9" i="1"/>
  <c r="Z8" i="1"/>
  <c r="W3" i="1"/>
  <c r="W18" i="1"/>
  <c r="AD18" i="1" s="1"/>
  <c r="Z4" i="1"/>
  <c r="X20" i="1"/>
  <c r="U20" i="1"/>
  <c r="AD20" i="1" s="1"/>
  <c r="U15" i="1"/>
  <c r="AD15" i="1" s="1"/>
  <c r="U23" i="1"/>
  <c r="AD23" i="1" s="1"/>
  <c r="AD22" i="1"/>
  <c r="W23" i="1"/>
  <c r="U13" i="1"/>
  <c r="AC3" i="1"/>
  <c r="X24" i="1"/>
  <c r="X5" i="1"/>
  <c r="X17" i="1"/>
  <c r="X13" i="1"/>
  <c r="X14" i="1"/>
  <c r="X18" i="1"/>
  <c r="X22" i="1"/>
  <c r="X9" i="1"/>
  <c r="X6" i="1"/>
  <c r="AD6" i="1" s="1"/>
  <c r="X21" i="1"/>
  <c r="X23" i="1"/>
  <c r="W11" i="1"/>
  <c r="AC11" i="1" s="1"/>
  <c r="U17" i="1"/>
  <c r="AD17" i="1" s="1"/>
  <c r="Z12" i="1"/>
  <c r="W12" i="1"/>
  <c r="X15" i="1"/>
  <c r="Y24" i="1"/>
  <c r="Y17" i="1"/>
  <c r="Y5" i="1"/>
  <c r="AC5" i="1" s="1"/>
  <c r="Y10" i="1"/>
  <c r="AC10" i="1" s="1"/>
  <c r="Y21" i="1"/>
  <c r="Y14" i="1"/>
  <c r="Y23" i="1"/>
  <c r="Y18" i="1"/>
  <c r="Y22" i="1"/>
  <c r="Y13" i="1"/>
  <c r="Y6" i="1"/>
  <c r="W16" i="1"/>
  <c r="W19" i="1"/>
  <c r="AC19" i="1" s="1"/>
  <c r="AD13" i="1"/>
  <c r="AC13" i="1"/>
  <c r="W15" i="1"/>
  <c r="X3" i="1"/>
  <c r="X11" i="1"/>
  <c r="Z16" i="1"/>
  <c r="U11" i="1"/>
  <c r="U22" i="1"/>
  <c r="AC22" i="1" s="1"/>
  <c r="W20" i="1"/>
  <c r="V24" i="1"/>
  <c r="V9" i="1"/>
  <c r="AD9" i="1" s="1"/>
  <c r="V21" i="1"/>
  <c r="V20" i="1"/>
  <c r="V4" i="1"/>
  <c r="U16" i="1"/>
  <c r="AD16" i="1" s="1"/>
  <c r="U8" i="1"/>
  <c r="AD8" i="1" s="1"/>
  <c r="X12" i="1"/>
  <c r="Y3" i="1"/>
  <c r="AD14" i="1"/>
  <c r="Y7" i="1"/>
  <c r="AC21" i="1" l="1"/>
  <c r="AC20" i="1"/>
  <c r="AC4" i="1"/>
  <c r="AC9" i="1"/>
  <c r="AD11" i="1"/>
  <c r="AD12" i="1"/>
  <c r="AC15" i="1"/>
  <c r="AC17" i="1"/>
  <c r="AD7" i="1"/>
  <c r="AC8" i="1"/>
  <c r="AC16" i="1"/>
</calcChain>
</file>

<file path=xl/sharedStrings.xml><?xml version="1.0" encoding="utf-8"?>
<sst xmlns="http://schemas.openxmlformats.org/spreadsheetml/2006/main" count="37" uniqueCount="18">
  <si>
    <t>ORIGINAL DATA (AVERAGE OF 5 READINGS)</t>
  </si>
  <si>
    <t>DATA WITH MINIMUM VALUE SUBTRACTED</t>
  </si>
  <si>
    <t>DATA NORMALIZED TO 1000</t>
  </si>
  <si>
    <t>WEIGHTING SCHEME</t>
  </si>
  <si>
    <t>ERROR</t>
  </si>
  <si>
    <t>S1</t>
  </si>
  <si>
    <t>S2</t>
  </si>
  <si>
    <t>S3</t>
  </si>
  <si>
    <t>S4</t>
  </si>
  <si>
    <t>S5</t>
  </si>
  <si>
    <t>S6</t>
  </si>
  <si>
    <t>S7</t>
  </si>
  <si>
    <t>S8</t>
  </si>
  <si>
    <t>(8-4-2-1)/4</t>
  </si>
  <si>
    <t>(15-14-12-8)/8</t>
  </si>
  <si>
    <t>Minimum</t>
  </si>
  <si>
    <t>Maximum</t>
  </si>
  <si>
    <t>Scale (1000/Max)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</si>
</sst>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2" x14ac:knownFonts="1">
    <font>
      <sz val="11"/>
      <color theme="1"/>
      <name val="Calibri"/>
      <family val="2"/>
      <charset val="1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164" fontId="1" fillId="0" borderId="0" xfId="0" applyNumberFormat="1" applyFont="1" applyAlignment="1">
      <alignment horizontal="right"/>
    </xf>
    <xf numFmtId="164" fontId="1" fillId="0" borderId="6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4" fontId="1" fillId="0" borderId="8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0" fontId="1" fillId="0" borderId="2" xfId="0" applyFont="1" applyBorder="1" applyAlignment="1">
      <alignment horizontal="left"/>
    </xf>
    <xf numFmtId="164" fontId="1" fillId="0" borderId="3" xfId="0" applyNumberFormat="1" applyFont="1" applyBorder="1" applyAlignment="1">
      <alignment horizontal="right"/>
    </xf>
    <xf numFmtId="164" fontId="1" fillId="0" borderId="4" xfId="0" applyNumberFormat="1" applyFont="1" applyBorder="1" applyAlignment="1">
      <alignment horizontal="right"/>
    </xf>
    <xf numFmtId="165" fontId="1" fillId="0" borderId="3" xfId="0" applyNumberFormat="1" applyFont="1" applyBorder="1" applyAlignment="1">
      <alignment horizontal="right"/>
    </xf>
    <xf numFmtId="165" fontId="1" fillId="0" borderId="4" xfId="0" applyNumberFormat="1" applyFont="1" applyBorder="1" applyAlignment="1">
      <alignment horizontal="right"/>
    </xf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8EA5CA"/>
      <rgbColor rgb="FFAA433F"/>
      <rgbColor rgb="FFFFFFCC"/>
      <rgbColor rgb="FFCCFFFF"/>
      <rgbColor rgb="FF660066"/>
      <rgbColor rgb="FFCC8F8E"/>
      <rgbColor rgb="FF4A7EBB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6FA6"/>
      <rgbColor rgb="FF33CCCC"/>
      <rgbColor rgb="FF99CC00"/>
      <rgbColor rgb="FFFFCC00"/>
      <rgbColor rgb="FFDB8238"/>
      <rgbColor rgb="FFFF6600"/>
      <rgbColor rgb="FF6F568D"/>
      <rgbColor rgb="FF87A44B"/>
      <rgbColor rgb="FF003366"/>
      <rgbColor rgb="FF3D97AF"/>
      <rgbColor rgb="FF003300"/>
      <rgbColor rgb="FF333300"/>
      <rgbColor rgb="FF993300"/>
      <rgbColor rgb="FFBE4B48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OF 5 READINGS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'SENSOR FUSION'!$B$2</c:f>
              <c:strCache>
                <c:ptCount val="1"/>
                <c:pt idx="0">
                  <c:v>S1</c:v>
                </c:pt>
              </c:strCache>
            </c:strRef>
          </c:tx>
          <c:spPr>
            <a:ln w="28440">
              <a:solidFill>
                <a:srgbClr val="426FA6"/>
              </a:solidFill>
              <a:round/>
            </a:ln>
          </c:spPr>
          <c:marker>
            <c:symbol val="circle"/>
            <c:size val="5"/>
            <c:spPr>
              <a:solidFill>
                <a:srgbClr val="426FA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'SENSOR FUSION'!$A$3:$A$23</c:f>
              <c:numCache>
                <c:formatCode>General</c:formatCode>
                <c:ptCount val="21"/>
                <c:pt idx="0">
                  <c:v>-40</c:v>
                </c:pt>
                <c:pt idx="1">
                  <c:v>-36</c:v>
                </c:pt>
                <c:pt idx="2">
                  <c:v>-32</c:v>
                </c:pt>
                <c:pt idx="3">
                  <c:v>-28</c:v>
                </c:pt>
                <c:pt idx="4">
                  <c:v>-24</c:v>
                </c:pt>
                <c:pt idx="5">
                  <c:v>-20</c:v>
                </c:pt>
                <c:pt idx="6">
                  <c:v>-16</c:v>
                </c:pt>
                <c:pt idx="7">
                  <c:v>-12</c:v>
                </c:pt>
                <c:pt idx="8">
                  <c:v>-8</c:v>
                </c:pt>
                <c:pt idx="9">
                  <c:v>-4</c:v>
                </c:pt>
                <c:pt idx="10">
                  <c:v>0</c:v>
                </c:pt>
                <c:pt idx="11">
                  <c:v>4</c:v>
                </c:pt>
                <c:pt idx="12">
                  <c:v>8</c:v>
                </c:pt>
                <c:pt idx="13">
                  <c:v>12</c:v>
                </c:pt>
                <c:pt idx="14">
                  <c:v>16</c:v>
                </c:pt>
                <c:pt idx="15">
                  <c:v>20</c:v>
                </c:pt>
                <c:pt idx="16">
                  <c:v>24</c:v>
                </c:pt>
                <c:pt idx="17">
                  <c:v>28</c:v>
                </c:pt>
                <c:pt idx="18">
                  <c:v>32</c:v>
                </c:pt>
                <c:pt idx="19">
                  <c:v>36</c:v>
                </c:pt>
                <c:pt idx="20">
                  <c:v>40</c:v>
                </c:pt>
              </c:numCache>
            </c:numRef>
          </c:xVal>
          <c:yVal>
            <c:numRef>
              <c:f>'SENSOR FUSION'!$B$3:$B$23</c:f>
              <c:numCache>
                <c:formatCode>0.0</c:formatCode>
                <c:ptCount val="21"/>
                <c:pt idx="0">
                  <c:v>2500</c:v>
                </c:pt>
                <c:pt idx="1">
                  <c:v>2500</c:v>
                </c:pt>
                <c:pt idx="2">
                  <c:v>1976</c:v>
                </c:pt>
                <c:pt idx="3">
                  <c:v>979</c:v>
                </c:pt>
                <c:pt idx="4">
                  <c:v>818</c:v>
                </c:pt>
                <c:pt idx="5">
                  <c:v>853</c:v>
                </c:pt>
                <c:pt idx="6">
                  <c:v>863</c:v>
                </c:pt>
                <c:pt idx="7">
                  <c:v>863</c:v>
                </c:pt>
                <c:pt idx="8">
                  <c:v>863</c:v>
                </c:pt>
                <c:pt idx="9">
                  <c:v>864</c:v>
                </c:pt>
                <c:pt idx="10">
                  <c:v>863</c:v>
                </c:pt>
                <c:pt idx="11">
                  <c:v>864</c:v>
                </c:pt>
                <c:pt idx="12">
                  <c:v>863</c:v>
                </c:pt>
                <c:pt idx="13">
                  <c:v>864</c:v>
                </c:pt>
                <c:pt idx="14">
                  <c:v>863</c:v>
                </c:pt>
                <c:pt idx="15">
                  <c:v>864</c:v>
                </c:pt>
                <c:pt idx="16">
                  <c:v>864</c:v>
                </c:pt>
                <c:pt idx="17">
                  <c:v>864</c:v>
                </c:pt>
                <c:pt idx="18">
                  <c:v>865</c:v>
                </c:pt>
                <c:pt idx="19">
                  <c:v>864</c:v>
                </c:pt>
                <c:pt idx="20">
                  <c:v>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D4-DB44-8127-17B1536E9A69}"/>
            </c:ext>
          </c:extLst>
        </c:ser>
        <c:ser>
          <c:idx val="1"/>
          <c:order val="1"/>
          <c:tx>
            <c:strRef>
              <c:f>'SENSOR FUSION'!$C$2</c:f>
              <c:strCache>
                <c:ptCount val="1"/>
                <c:pt idx="0">
                  <c:v>S2</c:v>
                </c:pt>
              </c:strCache>
            </c:strRef>
          </c:tx>
          <c:spPr>
            <a:ln w="28440">
              <a:solidFill>
                <a:srgbClr val="AA433F"/>
              </a:solidFill>
              <a:round/>
            </a:ln>
          </c:spPr>
          <c:marker>
            <c:symbol val="circle"/>
            <c:size val="5"/>
            <c:spPr>
              <a:solidFill>
                <a:srgbClr val="AA433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'SENSOR FUSION'!$A$3:$A$23</c:f>
              <c:numCache>
                <c:formatCode>General</c:formatCode>
                <c:ptCount val="21"/>
                <c:pt idx="0">
                  <c:v>-40</c:v>
                </c:pt>
                <c:pt idx="1">
                  <c:v>-36</c:v>
                </c:pt>
                <c:pt idx="2">
                  <c:v>-32</c:v>
                </c:pt>
                <c:pt idx="3">
                  <c:v>-28</c:v>
                </c:pt>
                <c:pt idx="4">
                  <c:v>-24</c:v>
                </c:pt>
                <c:pt idx="5">
                  <c:v>-20</c:v>
                </c:pt>
                <c:pt idx="6">
                  <c:v>-16</c:v>
                </c:pt>
                <c:pt idx="7">
                  <c:v>-12</c:v>
                </c:pt>
                <c:pt idx="8">
                  <c:v>-8</c:v>
                </c:pt>
                <c:pt idx="9">
                  <c:v>-4</c:v>
                </c:pt>
                <c:pt idx="10">
                  <c:v>0</c:v>
                </c:pt>
                <c:pt idx="11">
                  <c:v>4</c:v>
                </c:pt>
                <c:pt idx="12">
                  <c:v>8</c:v>
                </c:pt>
                <c:pt idx="13">
                  <c:v>12</c:v>
                </c:pt>
                <c:pt idx="14">
                  <c:v>16</c:v>
                </c:pt>
                <c:pt idx="15">
                  <c:v>20</c:v>
                </c:pt>
                <c:pt idx="16">
                  <c:v>24</c:v>
                </c:pt>
                <c:pt idx="17">
                  <c:v>28</c:v>
                </c:pt>
                <c:pt idx="18">
                  <c:v>32</c:v>
                </c:pt>
                <c:pt idx="19">
                  <c:v>36</c:v>
                </c:pt>
                <c:pt idx="20">
                  <c:v>40</c:v>
                </c:pt>
              </c:numCache>
            </c:numRef>
          </c:xVal>
          <c:yVal>
            <c:numRef>
              <c:f>'SENSOR FUSION'!$C$3:$C$23</c:f>
              <c:numCache>
                <c:formatCode>0.0</c:formatCode>
                <c:ptCount val="21"/>
                <c:pt idx="0">
                  <c:v>726</c:v>
                </c:pt>
                <c:pt idx="1">
                  <c:v>956</c:v>
                </c:pt>
                <c:pt idx="2">
                  <c:v>1814</c:v>
                </c:pt>
                <c:pt idx="3">
                  <c:v>2500</c:v>
                </c:pt>
                <c:pt idx="4">
                  <c:v>2071</c:v>
                </c:pt>
                <c:pt idx="5">
                  <c:v>1117</c:v>
                </c:pt>
                <c:pt idx="6">
                  <c:v>725</c:v>
                </c:pt>
                <c:pt idx="7">
                  <c:v>721</c:v>
                </c:pt>
                <c:pt idx="8">
                  <c:v>748</c:v>
                </c:pt>
                <c:pt idx="9">
                  <c:v>726</c:v>
                </c:pt>
                <c:pt idx="10">
                  <c:v>725</c:v>
                </c:pt>
                <c:pt idx="11">
                  <c:v>726</c:v>
                </c:pt>
                <c:pt idx="12">
                  <c:v>726</c:v>
                </c:pt>
                <c:pt idx="13">
                  <c:v>726</c:v>
                </c:pt>
                <c:pt idx="14">
                  <c:v>726</c:v>
                </c:pt>
                <c:pt idx="15">
                  <c:v>726</c:v>
                </c:pt>
                <c:pt idx="16">
                  <c:v>726</c:v>
                </c:pt>
                <c:pt idx="17">
                  <c:v>726</c:v>
                </c:pt>
                <c:pt idx="18">
                  <c:v>726</c:v>
                </c:pt>
                <c:pt idx="19">
                  <c:v>726</c:v>
                </c:pt>
                <c:pt idx="20">
                  <c:v>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D4-DB44-8127-17B1536E9A69}"/>
            </c:ext>
          </c:extLst>
        </c:ser>
        <c:ser>
          <c:idx val="2"/>
          <c:order val="2"/>
          <c:tx>
            <c:strRef>
              <c:f>'SENSOR FUSION'!$D$2</c:f>
              <c:strCache>
                <c:ptCount val="1"/>
                <c:pt idx="0">
                  <c:v>S3</c:v>
                </c:pt>
              </c:strCache>
            </c:strRef>
          </c:tx>
          <c:spPr>
            <a:ln w="28440">
              <a:solidFill>
                <a:srgbClr val="87A44B"/>
              </a:solidFill>
              <a:round/>
            </a:ln>
          </c:spPr>
          <c:marker>
            <c:symbol val="circle"/>
            <c:size val="5"/>
            <c:spPr>
              <a:solidFill>
                <a:srgbClr val="87A44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'SENSOR FUSION'!$A$3:$A$23</c:f>
              <c:numCache>
                <c:formatCode>General</c:formatCode>
                <c:ptCount val="21"/>
                <c:pt idx="0">
                  <c:v>-40</c:v>
                </c:pt>
                <c:pt idx="1">
                  <c:v>-36</c:v>
                </c:pt>
                <c:pt idx="2">
                  <c:v>-32</c:v>
                </c:pt>
                <c:pt idx="3">
                  <c:v>-28</c:v>
                </c:pt>
                <c:pt idx="4">
                  <c:v>-24</c:v>
                </c:pt>
                <c:pt idx="5">
                  <c:v>-20</c:v>
                </c:pt>
                <c:pt idx="6">
                  <c:v>-16</c:v>
                </c:pt>
                <c:pt idx="7">
                  <c:v>-12</c:v>
                </c:pt>
                <c:pt idx="8">
                  <c:v>-8</c:v>
                </c:pt>
                <c:pt idx="9">
                  <c:v>-4</c:v>
                </c:pt>
                <c:pt idx="10">
                  <c:v>0</c:v>
                </c:pt>
                <c:pt idx="11">
                  <c:v>4</c:v>
                </c:pt>
                <c:pt idx="12">
                  <c:v>8</c:v>
                </c:pt>
                <c:pt idx="13">
                  <c:v>12</c:v>
                </c:pt>
                <c:pt idx="14">
                  <c:v>16</c:v>
                </c:pt>
                <c:pt idx="15">
                  <c:v>20</c:v>
                </c:pt>
                <c:pt idx="16">
                  <c:v>24</c:v>
                </c:pt>
                <c:pt idx="17">
                  <c:v>28</c:v>
                </c:pt>
                <c:pt idx="18">
                  <c:v>32</c:v>
                </c:pt>
                <c:pt idx="19">
                  <c:v>36</c:v>
                </c:pt>
                <c:pt idx="20">
                  <c:v>40</c:v>
                </c:pt>
              </c:numCache>
            </c:numRef>
          </c:xVal>
          <c:yVal>
            <c:numRef>
              <c:f>'SENSOR FUSION'!$D$3:$D$23</c:f>
              <c:numCache>
                <c:formatCode>0.0</c:formatCode>
                <c:ptCount val="21"/>
                <c:pt idx="0">
                  <c:v>680</c:v>
                </c:pt>
                <c:pt idx="1">
                  <c:v>680</c:v>
                </c:pt>
                <c:pt idx="2">
                  <c:v>680</c:v>
                </c:pt>
                <c:pt idx="3">
                  <c:v>886</c:v>
                </c:pt>
                <c:pt idx="4">
                  <c:v>1373</c:v>
                </c:pt>
                <c:pt idx="5">
                  <c:v>2500</c:v>
                </c:pt>
                <c:pt idx="6">
                  <c:v>2500</c:v>
                </c:pt>
                <c:pt idx="7">
                  <c:v>1373</c:v>
                </c:pt>
                <c:pt idx="8">
                  <c:v>711</c:v>
                </c:pt>
                <c:pt idx="9">
                  <c:v>612</c:v>
                </c:pt>
                <c:pt idx="10">
                  <c:v>657</c:v>
                </c:pt>
                <c:pt idx="11">
                  <c:v>680</c:v>
                </c:pt>
                <c:pt idx="12">
                  <c:v>680</c:v>
                </c:pt>
                <c:pt idx="13">
                  <c:v>680</c:v>
                </c:pt>
                <c:pt idx="14">
                  <c:v>680</c:v>
                </c:pt>
                <c:pt idx="15">
                  <c:v>680</c:v>
                </c:pt>
                <c:pt idx="16">
                  <c:v>680</c:v>
                </c:pt>
                <c:pt idx="17">
                  <c:v>680</c:v>
                </c:pt>
                <c:pt idx="18">
                  <c:v>680</c:v>
                </c:pt>
                <c:pt idx="19">
                  <c:v>680</c:v>
                </c:pt>
                <c:pt idx="20">
                  <c:v>680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D4-DB44-8127-17B1536E9A69}"/>
            </c:ext>
          </c:extLst>
        </c:ser>
        <c:ser>
          <c:idx val="3"/>
          <c:order val="3"/>
          <c:tx>
            <c:strRef>
              <c:f>'SENSOR FUSION'!$E$2</c:f>
              <c:strCache>
                <c:ptCount val="1"/>
                <c:pt idx="0">
                  <c:v>S4</c:v>
                </c:pt>
              </c:strCache>
            </c:strRef>
          </c:tx>
          <c:spPr>
            <a:ln w="28440">
              <a:solidFill>
                <a:srgbClr val="6F568D"/>
              </a:solidFill>
              <a:round/>
            </a:ln>
          </c:spPr>
          <c:marker>
            <c:symbol val="circle"/>
            <c:size val="5"/>
            <c:spPr>
              <a:solidFill>
                <a:srgbClr val="6F568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'SENSOR FUSION'!$A$3:$A$23</c:f>
              <c:numCache>
                <c:formatCode>General</c:formatCode>
                <c:ptCount val="21"/>
                <c:pt idx="0">
                  <c:v>-40</c:v>
                </c:pt>
                <c:pt idx="1">
                  <c:v>-36</c:v>
                </c:pt>
                <c:pt idx="2">
                  <c:v>-32</c:v>
                </c:pt>
                <c:pt idx="3">
                  <c:v>-28</c:v>
                </c:pt>
                <c:pt idx="4">
                  <c:v>-24</c:v>
                </c:pt>
                <c:pt idx="5">
                  <c:v>-20</c:v>
                </c:pt>
                <c:pt idx="6">
                  <c:v>-16</c:v>
                </c:pt>
                <c:pt idx="7">
                  <c:v>-12</c:v>
                </c:pt>
                <c:pt idx="8">
                  <c:v>-8</c:v>
                </c:pt>
                <c:pt idx="9">
                  <c:v>-4</c:v>
                </c:pt>
                <c:pt idx="10">
                  <c:v>0</c:v>
                </c:pt>
                <c:pt idx="11">
                  <c:v>4</c:v>
                </c:pt>
                <c:pt idx="12">
                  <c:v>8</c:v>
                </c:pt>
                <c:pt idx="13">
                  <c:v>12</c:v>
                </c:pt>
                <c:pt idx="14">
                  <c:v>16</c:v>
                </c:pt>
                <c:pt idx="15">
                  <c:v>20</c:v>
                </c:pt>
                <c:pt idx="16">
                  <c:v>24</c:v>
                </c:pt>
                <c:pt idx="17">
                  <c:v>28</c:v>
                </c:pt>
                <c:pt idx="18">
                  <c:v>32</c:v>
                </c:pt>
                <c:pt idx="19">
                  <c:v>36</c:v>
                </c:pt>
                <c:pt idx="20">
                  <c:v>40</c:v>
                </c:pt>
              </c:numCache>
            </c:numRef>
          </c:xVal>
          <c:yVal>
            <c:numRef>
              <c:f>'SENSOR FUSION'!$E$3:$E$23</c:f>
              <c:numCache>
                <c:formatCode>0.0</c:formatCode>
                <c:ptCount val="21"/>
                <c:pt idx="0">
                  <c:v>680</c:v>
                </c:pt>
                <c:pt idx="1">
                  <c:v>680</c:v>
                </c:pt>
                <c:pt idx="2">
                  <c:v>680</c:v>
                </c:pt>
                <c:pt idx="3">
                  <c:v>657</c:v>
                </c:pt>
                <c:pt idx="4">
                  <c:v>658</c:v>
                </c:pt>
                <c:pt idx="5">
                  <c:v>771</c:v>
                </c:pt>
                <c:pt idx="6">
                  <c:v>1141</c:v>
                </c:pt>
                <c:pt idx="7">
                  <c:v>1815</c:v>
                </c:pt>
                <c:pt idx="8">
                  <c:v>1802</c:v>
                </c:pt>
                <c:pt idx="9">
                  <c:v>1234</c:v>
                </c:pt>
                <c:pt idx="10">
                  <c:v>794</c:v>
                </c:pt>
                <c:pt idx="11">
                  <c:v>635</c:v>
                </c:pt>
                <c:pt idx="12">
                  <c:v>657</c:v>
                </c:pt>
                <c:pt idx="13">
                  <c:v>657</c:v>
                </c:pt>
                <c:pt idx="14">
                  <c:v>680</c:v>
                </c:pt>
                <c:pt idx="15">
                  <c:v>657</c:v>
                </c:pt>
                <c:pt idx="16">
                  <c:v>657</c:v>
                </c:pt>
                <c:pt idx="17">
                  <c:v>657</c:v>
                </c:pt>
                <c:pt idx="18">
                  <c:v>657</c:v>
                </c:pt>
                <c:pt idx="19">
                  <c:v>657</c:v>
                </c:pt>
                <c:pt idx="20">
                  <c:v>657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ED4-DB44-8127-17B1536E9A69}"/>
            </c:ext>
          </c:extLst>
        </c:ser>
        <c:ser>
          <c:idx val="4"/>
          <c:order val="4"/>
          <c:tx>
            <c:strRef>
              <c:f>'SENSOR FUSION'!$F$2</c:f>
              <c:strCache>
                <c:ptCount val="1"/>
                <c:pt idx="0">
                  <c:v>S5</c:v>
                </c:pt>
              </c:strCache>
            </c:strRef>
          </c:tx>
          <c:spPr>
            <a:ln w="28440">
              <a:solidFill>
                <a:srgbClr val="3D97AF"/>
              </a:solidFill>
              <a:round/>
            </a:ln>
          </c:spPr>
          <c:marker>
            <c:symbol val="circle"/>
            <c:size val="5"/>
            <c:spPr>
              <a:solidFill>
                <a:srgbClr val="3D97A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'SENSOR FUSION'!$A$3:$A$23</c:f>
              <c:numCache>
                <c:formatCode>General</c:formatCode>
                <c:ptCount val="21"/>
                <c:pt idx="0">
                  <c:v>-40</c:v>
                </c:pt>
                <c:pt idx="1">
                  <c:v>-36</c:v>
                </c:pt>
                <c:pt idx="2">
                  <c:v>-32</c:v>
                </c:pt>
                <c:pt idx="3">
                  <c:v>-28</c:v>
                </c:pt>
                <c:pt idx="4">
                  <c:v>-24</c:v>
                </c:pt>
                <c:pt idx="5">
                  <c:v>-20</c:v>
                </c:pt>
                <c:pt idx="6">
                  <c:v>-16</c:v>
                </c:pt>
                <c:pt idx="7">
                  <c:v>-12</c:v>
                </c:pt>
                <c:pt idx="8">
                  <c:v>-8</c:v>
                </c:pt>
                <c:pt idx="9">
                  <c:v>-4</c:v>
                </c:pt>
                <c:pt idx="10">
                  <c:v>0</c:v>
                </c:pt>
                <c:pt idx="11">
                  <c:v>4</c:v>
                </c:pt>
                <c:pt idx="12">
                  <c:v>8</c:v>
                </c:pt>
                <c:pt idx="13">
                  <c:v>12</c:v>
                </c:pt>
                <c:pt idx="14">
                  <c:v>16</c:v>
                </c:pt>
                <c:pt idx="15">
                  <c:v>20</c:v>
                </c:pt>
                <c:pt idx="16">
                  <c:v>24</c:v>
                </c:pt>
                <c:pt idx="17">
                  <c:v>28</c:v>
                </c:pt>
                <c:pt idx="18">
                  <c:v>32</c:v>
                </c:pt>
                <c:pt idx="19">
                  <c:v>36</c:v>
                </c:pt>
                <c:pt idx="20">
                  <c:v>40</c:v>
                </c:pt>
              </c:numCache>
            </c:numRef>
          </c:xVal>
          <c:yVal>
            <c:numRef>
              <c:f>'SENSOR FUSION'!$F$3:$F$23</c:f>
              <c:numCache>
                <c:formatCode>0.0</c:formatCode>
                <c:ptCount val="21"/>
                <c:pt idx="0">
                  <c:v>703</c:v>
                </c:pt>
                <c:pt idx="1">
                  <c:v>703</c:v>
                </c:pt>
                <c:pt idx="2">
                  <c:v>703</c:v>
                </c:pt>
                <c:pt idx="3">
                  <c:v>703</c:v>
                </c:pt>
                <c:pt idx="4">
                  <c:v>703</c:v>
                </c:pt>
                <c:pt idx="5">
                  <c:v>702</c:v>
                </c:pt>
                <c:pt idx="6">
                  <c:v>653</c:v>
                </c:pt>
                <c:pt idx="7">
                  <c:v>644</c:v>
                </c:pt>
                <c:pt idx="8">
                  <c:v>890</c:v>
                </c:pt>
                <c:pt idx="9">
                  <c:v>1351</c:v>
                </c:pt>
                <c:pt idx="10">
                  <c:v>2048</c:v>
                </c:pt>
                <c:pt idx="11">
                  <c:v>1746</c:v>
                </c:pt>
                <c:pt idx="12">
                  <c:v>1025</c:v>
                </c:pt>
                <c:pt idx="13">
                  <c:v>657</c:v>
                </c:pt>
                <c:pt idx="14">
                  <c:v>703</c:v>
                </c:pt>
                <c:pt idx="15">
                  <c:v>703</c:v>
                </c:pt>
                <c:pt idx="16">
                  <c:v>703</c:v>
                </c:pt>
                <c:pt idx="17">
                  <c:v>703</c:v>
                </c:pt>
                <c:pt idx="18">
                  <c:v>703</c:v>
                </c:pt>
                <c:pt idx="19">
                  <c:v>703</c:v>
                </c:pt>
                <c:pt idx="20">
                  <c:v>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ED4-DB44-8127-17B1536E9A69}"/>
            </c:ext>
          </c:extLst>
        </c:ser>
        <c:ser>
          <c:idx val="5"/>
          <c:order val="5"/>
          <c:tx>
            <c:strRef>
              <c:f>'SENSOR FUSION'!$G$2</c:f>
              <c:strCache>
                <c:ptCount val="1"/>
                <c:pt idx="0">
                  <c:v>S6</c:v>
                </c:pt>
              </c:strCache>
            </c:strRef>
          </c:tx>
          <c:spPr>
            <a:ln w="28440">
              <a:solidFill>
                <a:srgbClr val="DB8238"/>
              </a:solidFill>
              <a:round/>
            </a:ln>
          </c:spPr>
          <c:marker>
            <c:symbol val="circle"/>
            <c:size val="5"/>
            <c:spPr>
              <a:solidFill>
                <a:srgbClr val="DB823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'SENSOR FUSION'!$A$3:$A$23</c:f>
              <c:numCache>
                <c:formatCode>General</c:formatCode>
                <c:ptCount val="21"/>
                <c:pt idx="0">
                  <c:v>-40</c:v>
                </c:pt>
                <c:pt idx="1">
                  <c:v>-36</c:v>
                </c:pt>
                <c:pt idx="2">
                  <c:v>-32</c:v>
                </c:pt>
                <c:pt idx="3">
                  <c:v>-28</c:v>
                </c:pt>
                <c:pt idx="4">
                  <c:v>-24</c:v>
                </c:pt>
                <c:pt idx="5">
                  <c:v>-20</c:v>
                </c:pt>
                <c:pt idx="6">
                  <c:v>-16</c:v>
                </c:pt>
                <c:pt idx="7">
                  <c:v>-12</c:v>
                </c:pt>
                <c:pt idx="8">
                  <c:v>-8</c:v>
                </c:pt>
                <c:pt idx="9">
                  <c:v>-4</c:v>
                </c:pt>
                <c:pt idx="10">
                  <c:v>0</c:v>
                </c:pt>
                <c:pt idx="11">
                  <c:v>4</c:v>
                </c:pt>
                <c:pt idx="12">
                  <c:v>8</c:v>
                </c:pt>
                <c:pt idx="13">
                  <c:v>12</c:v>
                </c:pt>
                <c:pt idx="14">
                  <c:v>16</c:v>
                </c:pt>
                <c:pt idx="15">
                  <c:v>20</c:v>
                </c:pt>
                <c:pt idx="16">
                  <c:v>24</c:v>
                </c:pt>
                <c:pt idx="17">
                  <c:v>28</c:v>
                </c:pt>
                <c:pt idx="18">
                  <c:v>32</c:v>
                </c:pt>
                <c:pt idx="19">
                  <c:v>36</c:v>
                </c:pt>
                <c:pt idx="20">
                  <c:v>40</c:v>
                </c:pt>
              </c:numCache>
            </c:numRef>
          </c:xVal>
          <c:yVal>
            <c:numRef>
              <c:f>'SENSOR FUSION'!$G$3:$G$23</c:f>
              <c:numCache>
                <c:formatCode>0.0</c:formatCode>
                <c:ptCount val="21"/>
                <c:pt idx="0">
                  <c:v>703</c:v>
                </c:pt>
                <c:pt idx="1">
                  <c:v>703</c:v>
                </c:pt>
                <c:pt idx="2">
                  <c:v>703</c:v>
                </c:pt>
                <c:pt idx="3">
                  <c:v>703</c:v>
                </c:pt>
                <c:pt idx="4">
                  <c:v>703</c:v>
                </c:pt>
                <c:pt idx="5">
                  <c:v>702</c:v>
                </c:pt>
                <c:pt idx="6">
                  <c:v>702</c:v>
                </c:pt>
                <c:pt idx="7">
                  <c:v>703</c:v>
                </c:pt>
                <c:pt idx="8">
                  <c:v>702</c:v>
                </c:pt>
                <c:pt idx="9">
                  <c:v>703</c:v>
                </c:pt>
                <c:pt idx="10">
                  <c:v>817</c:v>
                </c:pt>
                <c:pt idx="11">
                  <c:v>1248</c:v>
                </c:pt>
                <c:pt idx="12">
                  <c:v>1876</c:v>
                </c:pt>
                <c:pt idx="13">
                  <c:v>1978</c:v>
                </c:pt>
                <c:pt idx="14">
                  <c:v>1187</c:v>
                </c:pt>
                <c:pt idx="15">
                  <c:v>817</c:v>
                </c:pt>
                <c:pt idx="16">
                  <c:v>703</c:v>
                </c:pt>
                <c:pt idx="17">
                  <c:v>726</c:v>
                </c:pt>
                <c:pt idx="18">
                  <c:v>726</c:v>
                </c:pt>
                <c:pt idx="19">
                  <c:v>703</c:v>
                </c:pt>
                <c:pt idx="20">
                  <c:v>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ED4-DB44-8127-17B1536E9A69}"/>
            </c:ext>
          </c:extLst>
        </c:ser>
        <c:ser>
          <c:idx val="6"/>
          <c:order val="6"/>
          <c:tx>
            <c:strRef>
              <c:f>'SENSOR FUSION'!$H$2</c:f>
              <c:strCache>
                <c:ptCount val="1"/>
                <c:pt idx="0">
                  <c:v>S7</c:v>
                </c:pt>
              </c:strCache>
            </c:strRef>
          </c:tx>
          <c:spPr>
            <a:ln w="28440">
              <a:solidFill>
                <a:srgbClr val="8EA5CA"/>
              </a:solidFill>
              <a:round/>
            </a:ln>
          </c:spPr>
          <c:marker>
            <c:symbol val="circle"/>
            <c:size val="5"/>
            <c:spPr>
              <a:solidFill>
                <a:srgbClr val="8EA5CA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'SENSOR FUSION'!$A$3:$A$23</c:f>
              <c:numCache>
                <c:formatCode>General</c:formatCode>
                <c:ptCount val="21"/>
                <c:pt idx="0">
                  <c:v>-40</c:v>
                </c:pt>
                <c:pt idx="1">
                  <c:v>-36</c:v>
                </c:pt>
                <c:pt idx="2">
                  <c:v>-32</c:v>
                </c:pt>
                <c:pt idx="3">
                  <c:v>-28</c:v>
                </c:pt>
                <c:pt idx="4">
                  <c:v>-24</c:v>
                </c:pt>
                <c:pt idx="5">
                  <c:v>-20</c:v>
                </c:pt>
                <c:pt idx="6">
                  <c:v>-16</c:v>
                </c:pt>
                <c:pt idx="7">
                  <c:v>-12</c:v>
                </c:pt>
                <c:pt idx="8">
                  <c:v>-8</c:v>
                </c:pt>
                <c:pt idx="9">
                  <c:v>-4</c:v>
                </c:pt>
                <c:pt idx="10">
                  <c:v>0</c:v>
                </c:pt>
                <c:pt idx="11">
                  <c:v>4</c:v>
                </c:pt>
                <c:pt idx="12">
                  <c:v>8</c:v>
                </c:pt>
                <c:pt idx="13">
                  <c:v>12</c:v>
                </c:pt>
                <c:pt idx="14">
                  <c:v>16</c:v>
                </c:pt>
                <c:pt idx="15">
                  <c:v>20</c:v>
                </c:pt>
                <c:pt idx="16">
                  <c:v>24</c:v>
                </c:pt>
                <c:pt idx="17">
                  <c:v>28</c:v>
                </c:pt>
                <c:pt idx="18">
                  <c:v>32</c:v>
                </c:pt>
                <c:pt idx="19">
                  <c:v>36</c:v>
                </c:pt>
                <c:pt idx="20">
                  <c:v>40</c:v>
                </c:pt>
              </c:numCache>
            </c:numRef>
          </c:xVal>
          <c:yVal>
            <c:numRef>
              <c:f>'SENSOR FUSION'!$H$3:$H$23</c:f>
              <c:numCache>
                <c:formatCode>0.0</c:formatCode>
                <c:ptCount val="21"/>
                <c:pt idx="0">
                  <c:v>762</c:v>
                </c:pt>
                <c:pt idx="1">
                  <c:v>758</c:v>
                </c:pt>
                <c:pt idx="2">
                  <c:v>767</c:v>
                </c:pt>
                <c:pt idx="3">
                  <c:v>771</c:v>
                </c:pt>
                <c:pt idx="4">
                  <c:v>772</c:v>
                </c:pt>
                <c:pt idx="5">
                  <c:v>771</c:v>
                </c:pt>
                <c:pt idx="6">
                  <c:v>771</c:v>
                </c:pt>
                <c:pt idx="7">
                  <c:v>771</c:v>
                </c:pt>
                <c:pt idx="8">
                  <c:v>771</c:v>
                </c:pt>
                <c:pt idx="9">
                  <c:v>772</c:v>
                </c:pt>
                <c:pt idx="10">
                  <c:v>771</c:v>
                </c:pt>
                <c:pt idx="11">
                  <c:v>749</c:v>
                </c:pt>
                <c:pt idx="12">
                  <c:v>817</c:v>
                </c:pt>
                <c:pt idx="13">
                  <c:v>1197</c:v>
                </c:pt>
                <c:pt idx="14">
                  <c:v>2500</c:v>
                </c:pt>
                <c:pt idx="15">
                  <c:v>2500</c:v>
                </c:pt>
                <c:pt idx="16">
                  <c:v>1743</c:v>
                </c:pt>
                <c:pt idx="17">
                  <c:v>1049</c:v>
                </c:pt>
                <c:pt idx="18">
                  <c:v>703</c:v>
                </c:pt>
                <c:pt idx="19">
                  <c:v>726</c:v>
                </c:pt>
                <c:pt idx="20">
                  <c:v>749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ED4-DB44-8127-17B1536E9A69}"/>
            </c:ext>
          </c:extLst>
        </c:ser>
        <c:ser>
          <c:idx val="7"/>
          <c:order val="7"/>
          <c:tx>
            <c:strRef>
              <c:f>'SENSOR FUSION'!$I$2</c:f>
              <c:strCache>
                <c:ptCount val="1"/>
                <c:pt idx="0">
                  <c:v>S8</c:v>
                </c:pt>
              </c:strCache>
            </c:strRef>
          </c:tx>
          <c:spPr>
            <a:ln w="28440">
              <a:solidFill>
                <a:srgbClr val="CC8F8E"/>
              </a:solidFill>
              <a:round/>
            </a:ln>
          </c:spPr>
          <c:marker>
            <c:symbol val="circle"/>
            <c:size val="5"/>
            <c:spPr>
              <a:solidFill>
                <a:srgbClr val="CC8F8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'SENSOR FUSION'!$A$3:$A$23</c:f>
              <c:numCache>
                <c:formatCode>General</c:formatCode>
                <c:ptCount val="21"/>
                <c:pt idx="0">
                  <c:v>-40</c:v>
                </c:pt>
                <c:pt idx="1">
                  <c:v>-36</c:v>
                </c:pt>
                <c:pt idx="2">
                  <c:v>-32</c:v>
                </c:pt>
                <c:pt idx="3">
                  <c:v>-28</c:v>
                </c:pt>
                <c:pt idx="4">
                  <c:v>-24</c:v>
                </c:pt>
                <c:pt idx="5">
                  <c:v>-20</c:v>
                </c:pt>
                <c:pt idx="6">
                  <c:v>-16</c:v>
                </c:pt>
                <c:pt idx="7">
                  <c:v>-12</c:v>
                </c:pt>
                <c:pt idx="8">
                  <c:v>-8</c:v>
                </c:pt>
                <c:pt idx="9">
                  <c:v>-4</c:v>
                </c:pt>
                <c:pt idx="10">
                  <c:v>0</c:v>
                </c:pt>
                <c:pt idx="11">
                  <c:v>4</c:v>
                </c:pt>
                <c:pt idx="12">
                  <c:v>8</c:v>
                </c:pt>
                <c:pt idx="13">
                  <c:v>12</c:v>
                </c:pt>
                <c:pt idx="14">
                  <c:v>16</c:v>
                </c:pt>
                <c:pt idx="15">
                  <c:v>20</c:v>
                </c:pt>
                <c:pt idx="16">
                  <c:v>24</c:v>
                </c:pt>
                <c:pt idx="17">
                  <c:v>28</c:v>
                </c:pt>
                <c:pt idx="18">
                  <c:v>32</c:v>
                </c:pt>
                <c:pt idx="19">
                  <c:v>36</c:v>
                </c:pt>
                <c:pt idx="20">
                  <c:v>40</c:v>
                </c:pt>
              </c:numCache>
            </c:numRef>
          </c:xVal>
          <c:yVal>
            <c:numRef>
              <c:f>'SENSOR FUSION'!$I$3:$I$23</c:f>
              <c:numCache>
                <c:formatCode>0.0</c:formatCode>
                <c:ptCount val="21"/>
                <c:pt idx="0">
                  <c:v>888</c:v>
                </c:pt>
                <c:pt idx="1">
                  <c:v>887</c:v>
                </c:pt>
                <c:pt idx="2">
                  <c:v>887</c:v>
                </c:pt>
                <c:pt idx="3">
                  <c:v>886</c:v>
                </c:pt>
                <c:pt idx="4">
                  <c:v>887</c:v>
                </c:pt>
                <c:pt idx="5">
                  <c:v>886</c:v>
                </c:pt>
                <c:pt idx="6">
                  <c:v>886</c:v>
                </c:pt>
                <c:pt idx="7">
                  <c:v>886</c:v>
                </c:pt>
                <c:pt idx="8">
                  <c:v>886</c:v>
                </c:pt>
                <c:pt idx="9">
                  <c:v>887</c:v>
                </c:pt>
                <c:pt idx="10">
                  <c:v>886</c:v>
                </c:pt>
                <c:pt idx="11">
                  <c:v>891</c:v>
                </c:pt>
                <c:pt idx="12">
                  <c:v>909</c:v>
                </c:pt>
                <c:pt idx="13">
                  <c:v>887</c:v>
                </c:pt>
                <c:pt idx="14">
                  <c:v>932</c:v>
                </c:pt>
                <c:pt idx="15">
                  <c:v>1303</c:v>
                </c:pt>
                <c:pt idx="16">
                  <c:v>2500</c:v>
                </c:pt>
                <c:pt idx="17">
                  <c:v>2500</c:v>
                </c:pt>
                <c:pt idx="18">
                  <c:v>2500</c:v>
                </c:pt>
                <c:pt idx="19">
                  <c:v>1445</c:v>
                </c:pt>
                <c:pt idx="20">
                  <c:v>837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ED4-DB44-8127-17B1536E9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722644"/>
        <c:axId val="59181160"/>
      </c:scatterChart>
      <c:valAx>
        <c:axId val="44722644"/>
        <c:scaling>
          <c:orientation val="minMax"/>
          <c:max val="50"/>
          <c:min val="-5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181160"/>
        <c:crosses val="autoZero"/>
        <c:crossBetween val="midCat"/>
        <c:majorUnit val="10"/>
      </c:valAx>
      <c:valAx>
        <c:axId val="59181160"/>
        <c:scaling>
          <c:orientation val="minMax"/>
          <c:max val="30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72264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MINIMUM REMOVED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'SENSOR FUSION'!$K$2</c:f>
              <c:strCache>
                <c:ptCount val="1"/>
                <c:pt idx="0">
                  <c:v>S1</c:v>
                </c:pt>
              </c:strCache>
            </c:strRef>
          </c:tx>
          <c:spPr>
            <a:ln w="28440">
              <a:solidFill>
                <a:srgbClr val="426FA6"/>
              </a:solidFill>
              <a:round/>
            </a:ln>
          </c:spPr>
          <c:marker>
            <c:symbol val="circle"/>
            <c:size val="5"/>
            <c:spPr>
              <a:solidFill>
                <a:srgbClr val="426FA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'SENSOR FUSION'!$J$3:$J$23</c:f>
              <c:numCache>
                <c:formatCode>General</c:formatCode>
                <c:ptCount val="21"/>
                <c:pt idx="0">
                  <c:v>-40</c:v>
                </c:pt>
                <c:pt idx="1">
                  <c:v>-36</c:v>
                </c:pt>
                <c:pt idx="2">
                  <c:v>-32</c:v>
                </c:pt>
                <c:pt idx="3">
                  <c:v>-28</c:v>
                </c:pt>
                <c:pt idx="4">
                  <c:v>-24</c:v>
                </c:pt>
                <c:pt idx="5">
                  <c:v>-20</c:v>
                </c:pt>
                <c:pt idx="6">
                  <c:v>-16</c:v>
                </c:pt>
                <c:pt idx="7">
                  <c:v>-12</c:v>
                </c:pt>
                <c:pt idx="8">
                  <c:v>-8</c:v>
                </c:pt>
                <c:pt idx="9">
                  <c:v>-4</c:v>
                </c:pt>
                <c:pt idx="10">
                  <c:v>0</c:v>
                </c:pt>
                <c:pt idx="11">
                  <c:v>4</c:v>
                </c:pt>
                <c:pt idx="12">
                  <c:v>8</c:v>
                </c:pt>
                <c:pt idx="13">
                  <c:v>12</c:v>
                </c:pt>
                <c:pt idx="14">
                  <c:v>16</c:v>
                </c:pt>
                <c:pt idx="15">
                  <c:v>20</c:v>
                </c:pt>
                <c:pt idx="16">
                  <c:v>24</c:v>
                </c:pt>
                <c:pt idx="17">
                  <c:v>28</c:v>
                </c:pt>
                <c:pt idx="18">
                  <c:v>32</c:v>
                </c:pt>
                <c:pt idx="19">
                  <c:v>36</c:v>
                </c:pt>
                <c:pt idx="20">
                  <c:v>40</c:v>
                </c:pt>
              </c:numCache>
            </c:numRef>
          </c:xVal>
          <c:yVal>
            <c:numRef>
              <c:f>'SENSOR FUSION'!$K$3:$K$23</c:f>
              <c:numCache>
                <c:formatCode>0.0</c:formatCode>
                <c:ptCount val="21"/>
                <c:pt idx="0">
                  <c:v>1682</c:v>
                </c:pt>
                <c:pt idx="1">
                  <c:v>1682</c:v>
                </c:pt>
                <c:pt idx="2">
                  <c:v>1158</c:v>
                </c:pt>
                <c:pt idx="3">
                  <c:v>161</c:v>
                </c:pt>
                <c:pt idx="4">
                  <c:v>0</c:v>
                </c:pt>
                <c:pt idx="5">
                  <c:v>35</c:v>
                </c:pt>
                <c:pt idx="6">
                  <c:v>45</c:v>
                </c:pt>
                <c:pt idx="7">
                  <c:v>45</c:v>
                </c:pt>
                <c:pt idx="8">
                  <c:v>45</c:v>
                </c:pt>
                <c:pt idx="9">
                  <c:v>46</c:v>
                </c:pt>
                <c:pt idx="10">
                  <c:v>45</c:v>
                </c:pt>
                <c:pt idx="11">
                  <c:v>46</c:v>
                </c:pt>
                <c:pt idx="12">
                  <c:v>45</c:v>
                </c:pt>
                <c:pt idx="13">
                  <c:v>46</c:v>
                </c:pt>
                <c:pt idx="14">
                  <c:v>45</c:v>
                </c:pt>
                <c:pt idx="15">
                  <c:v>46</c:v>
                </c:pt>
                <c:pt idx="16">
                  <c:v>46</c:v>
                </c:pt>
                <c:pt idx="17">
                  <c:v>46</c:v>
                </c:pt>
                <c:pt idx="18">
                  <c:v>47</c:v>
                </c:pt>
                <c:pt idx="19">
                  <c:v>46</c:v>
                </c:pt>
                <c:pt idx="20">
                  <c:v>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74-D340-A76B-28089FE0D53C}"/>
            </c:ext>
          </c:extLst>
        </c:ser>
        <c:ser>
          <c:idx val="1"/>
          <c:order val="1"/>
          <c:tx>
            <c:strRef>
              <c:f>'SENSOR FUSION'!$L$2</c:f>
              <c:strCache>
                <c:ptCount val="1"/>
                <c:pt idx="0">
                  <c:v>S2</c:v>
                </c:pt>
              </c:strCache>
            </c:strRef>
          </c:tx>
          <c:spPr>
            <a:ln w="28440">
              <a:solidFill>
                <a:srgbClr val="AA433F"/>
              </a:solidFill>
              <a:round/>
            </a:ln>
          </c:spPr>
          <c:marker>
            <c:symbol val="circle"/>
            <c:size val="5"/>
            <c:spPr>
              <a:solidFill>
                <a:srgbClr val="AA433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'SENSOR FUSION'!$J$3:$J$23</c:f>
              <c:numCache>
                <c:formatCode>General</c:formatCode>
                <c:ptCount val="21"/>
                <c:pt idx="0">
                  <c:v>-40</c:v>
                </c:pt>
                <c:pt idx="1">
                  <c:v>-36</c:v>
                </c:pt>
                <c:pt idx="2">
                  <c:v>-32</c:v>
                </c:pt>
                <c:pt idx="3">
                  <c:v>-28</c:v>
                </c:pt>
                <c:pt idx="4">
                  <c:v>-24</c:v>
                </c:pt>
                <c:pt idx="5">
                  <c:v>-20</c:v>
                </c:pt>
                <c:pt idx="6">
                  <c:v>-16</c:v>
                </c:pt>
                <c:pt idx="7">
                  <c:v>-12</c:v>
                </c:pt>
                <c:pt idx="8">
                  <c:v>-8</c:v>
                </c:pt>
                <c:pt idx="9">
                  <c:v>-4</c:v>
                </c:pt>
                <c:pt idx="10">
                  <c:v>0</c:v>
                </c:pt>
                <c:pt idx="11">
                  <c:v>4</c:v>
                </c:pt>
                <c:pt idx="12">
                  <c:v>8</c:v>
                </c:pt>
                <c:pt idx="13">
                  <c:v>12</c:v>
                </c:pt>
                <c:pt idx="14">
                  <c:v>16</c:v>
                </c:pt>
                <c:pt idx="15">
                  <c:v>20</c:v>
                </c:pt>
                <c:pt idx="16">
                  <c:v>24</c:v>
                </c:pt>
                <c:pt idx="17">
                  <c:v>28</c:v>
                </c:pt>
                <c:pt idx="18">
                  <c:v>32</c:v>
                </c:pt>
                <c:pt idx="19">
                  <c:v>36</c:v>
                </c:pt>
                <c:pt idx="20">
                  <c:v>40</c:v>
                </c:pt>
              </c:numCache>
            </c:numRef>
          </c:xVal>
          <c:yVal>
            <c:numRef>
              <c:f>'SENSOR FUSION'!$L$3:$L$23</c:f>
              <c:numCache>
                <c:formatCode>0.0</c:formatCode>
                <c:ptCount val="21"/>
                <c:pt idx="0">
                  <c:v>5</c:v>
                </c:pt>
                <c:pt idx="1">
                  <c:v>235</c:v>
                </c:pt>
                <c:pt idx="2">
                  <c:v>1093</c:v>
                </c:pt>
                <c:pt idx="3">
                  <c:v>1779</c:v>
                </c:pt>
                <c:pt idx="4">
                  <c:v>1350</c:v>
                </c:pt>
                <c:pt idx="5">
                  <c:v>396</c:v>
                </c:pt>
                <c:pt idx="6">
                  <c:v>4</c:v>
                </c:pt>
                <c:pt idx="7">
                  <c:v>0</c:v>
                </c:pt>
                <c:pt idx="8">
                  <c:v>27</c:v>
                </c:pt>
                <c:pt idx="9">
                  <c:v>5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74-D340-A76B-28089FE0D53C}"/>
            </c:ext>
          </c:extLst>
        </c:ser>
        <c:ser>
          <c:idx val="2"/>
          <c:order val="2"/>
          <c:tx>
            <c:strRef>
              <c:f>'SENSOR FUSION'!$M$2</c:f>
              <c:strCache>
                <c:ptCount val="1"/>
                <c:pt idx="0">
                  <c:v>S3</c:v>
                </c:pt>
              </c:strCache>
            </c:strRef>
          </c:tx>
          <c:spPr>
            <a:ln w="28440">
              <a:solidFill>
                <a:srgbClr val="87A44B"/>
              </a:solidFill>
              <a:round/>
            </a:ln>
          </c:spPr>
          <c:marker>
            <c:symbol val="circle"/>
            <c:size val="5"/>
            <c:spPr>
              <a:solidFill>
                <a:srgbClr val="87A44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'SENSOR FUSION'!$J$3:$J$23</c:f>
              <c:numCache>
                <c:formatCode>General</c:formatCode>
                <c:ptCount val="21"/>
                <c:pt idx="0">
                  <c:v>-40</c:v>
                </c:pt>
                <c:pt idx="1">
                  <c:v>-36</c:v>
                </c:pt>
                <c:pt idx="2">
                  <c:v>-32</c:v>
                </c:pt>
                <c:pt idx="3">
                  <c:v>-28</c:v>
                </c:pt>
                <c:pt idx="4">
                  <c:v>-24</c:v>
                </c:pt>
                <c:pt idx="5">
                  <c:v>-20</c:v>
                </c:pt>
                <c:pt idx="6">
                  <c:v>-16</c:v>
                </c:pt>
                <c:pt idx="7">
                  <c:v>-12</c:v>
                </c:pt>
                <c:pt idx="8">
                  <c:v>-8</c:v>
                </c:pt>
                <c:pt idx="9">
                  <c:v>-4</c:v>
                </c:pt>
                <c:pt idx="10">
                  <c:v>0</c:v>
                </c:pt>
                <c:pt idx="11">
                  <c:v>4</c:v>
                </c:pt>
                <c:pt idx="12">
                  <c:v>8</c:v>
                </c:pt>
                <c:pt idx="13">
                  <c:v>12</c:v>
                </c:pt>
                <c:pt idx="14">
                  <c:v>16</c:v>
                </c:pt>
                <c:pt idx="15">
                  <c:v>20</c:v>
                </c:pt>
                <c:pt idx="16">
                  <c:v>24</c:v>
                </c:pt>
                <c:pt idx="17">
                  <c:v>28</c:v>
                </c:pt>
                <c:pt idx="18">
                  <c:v>32</c:v>
                </c:pt>
                <c:pt idx="19">
                  <c:v>36</c:v>
                </c:pt>
                <c:pt idx="20">
                  <c:v>40</c:v>
                </c:pt>
              </c:numCache>
            </c:numRef>
          </c:xVal>
          <c:yVal>
            <c:numRef>
              <c:f>'SENSOR FUSION'!$M$3:$M$23</c:f>
              <c:numCache>
                <c:formatCode>0.0</c:formatCode>
                <c:ptCount val="21"/>
                <c:pt idx="0">
                  <c:v>68</c:v>
                </c:pt>
                <c:pt idx="1">
                  <c:v>68</c:v>
                </c:pt>
                <c:pt idx="2">
                  <c:v>68</c:v>
                </c:pt>
                <c:pt idx="3">
                  <c:v>274</c:v>
                </c:pt>
                <c:pt idx="4">
                  <c:v>761</c:v>
                </c:pt>
                <c:pt idx="5">
                  <c:v>1888</c:v>
                </c:pt>
                <c:pt idx="6">
                  <c:v>1888</c:v>
                </c:pt>
                <c:pt idx="7">
                  <c:v>761</c:v>
                </c:pt>
                <c:pt idx="8">
                  <c:v>99</c:v>
                </c:pt>
                <c:pt idx="9">
                  <c:v>0</c:v>
                </c:pt>
                <c:pt idx="10">
                  <c:v>45</c:v>
                </c:pt>
                <c:pt idx="11">
                  <c:v>68</c:v>
                </c:pt>
                <c:pt idx="12">
                  <c:v>68</c:v>
                </c:pt>
                <c:pt idx="13">
                  <c:v>68</c:v>
                </c:pt>
                <c:pt idx="14">
                  <c:v>68</c:v>
                </c:pt>
                <c:pt idx="15">
                  <c:v>68</c:v>
                </c:pt>
                <c:pt idx="16">
                  <c:v>68</c:v>
                </c:pt>
                <c:pt idx="17">
                  <c:v>68</c:v>
                </c:pt>
                <c:pt idx="18">
                  <c:v>68</c:v>
                </c:pt>
                <c:pt idx="19">
                  <c:v>68</c:v>
                </c:pt>
                <c:pt idx="20">
                  <c:v>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74-D340-A76B-28089FE0D53C}"/>
            </c:ext>
          </c:extLst>
        </c:ser>
        <c:ser>
          <c:idx val="3"/>
          <c:order val="3"/>
          <c:tx>
            <c:strRef>
              <c:f>'SENSOR FUSION'!$N$2</c:f>
              <c:strCache>
                <c:ptCount val="1"/>
                <c:pt idx="0">
                  <c:v>S4</c:v>
                </c:pt>
              </c:strCache>
            </c:strRef>
          </c:tx>
          <c:spPr>
            <a:ln w="28440">
              <a:solidFill>
                <a:srgbClr val="6F568D"/>
              </a:solidFill>
              <a:round/>
            </a:ln>
          </c:spPr>
          <c:marker>
            <c:symbol val="circle"/>
            <c:size val="5"/>
            <c:spPr>
              <a:solidFill>
                <a:srgbClr val="6F568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'SENSOR FUSION'!$J$3:$J$23</c:f>
              <c:numCache>
                <c:formatCode>General</c:formatCode>
                <c:ptCount val="21"/>
                <c:pt idx="0">
                  <c:v>-40</c:v>
                </c:pt>
                <c:pt idx="1">
                  <c:v>-36</c:v>
                </c:pt>
                <c:pt idx="2">
                  <c:v>-32</c:v>
                </c:pt>
                <c:pt idx="3">
                  <c:v>-28</c:v>
                </c:pt>
                <c:pt idx="4">
                  <c:v>-24</c:v>
                </c:pt>
                <c:pt idx="5">
                  <c:v>-20</c:v>
                </c:pt>
                <c:pt idx="6">
                  <c:v>-16</c:v>
                </c:pt>
                <c:pt idx="7">
                  <c:v>-12</c:v>
                </c:pt>
                <c:pt idx="8">
                  <c:v>-8</c:v>
                </c:pt>
                <c:pt idx="9">
                  <c:v>-4</c:v>
                </c:pt>
                <c:pt idx="10">
                  <c:v>0</c:v>
                </c:pt>
                <c:pt idx="11">
                  <c:v>4</c:v>
                </c:pt>
                <c:pt idx="12">
                  <c:v>8</c:v>
                </c:pt>
                <c:pt idx="13">
                  <c:v>12</c:v>
                </c:pt>
                <c:pt idx="14">
                  <c:v>16</c:v>
                </c:pt>
                <c:pt idx="15">
                  <c:v>20</c:v>
                </c:pt>
                <c:pt idx="16">
                  <c:v>24</c:v>
                </c:pt>
                <c:pt idx="17">
                  <c:v>28</c:v>
                </c:pt>
                <c:pt idx="18">
                  <c:v>32</c:v>
                </c:pt>
                <c:pt idx="19">
                  <c:v>36</c:v>
                </c:pt>
                <c:pt idx="20">
                  <c:v>40</c:v>
                </c:pt>
              </c:numCache>
            </c:numRef>
          </c:xVal>
          <c:yVal>
            <c:numRef>
              <c:f>'SENSOR FUSION'!$N$3:$N$23</c:f>
              <c:numCache>
                <c:formatCode>0.0</c:formatCode>
                <c:ptCount val="21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22</c:v>
                </c:pt>
                <c:pt idx="4">
                  <c:v>23</c:v>
                </c:pt>
                <c:pt idx="5">
                  <c:v>136</c:v>
                </c:pt>
                <c:pt idx="6">
                  <c:v>506</c:v>
                </c:pt>
                <c:pt idx="7">
                  <c:v>1180</c:v>
                </c:pt>
                <c:pt idx="8">
                  <c:v>1167</c:v>
                </c:pt>
                <c:pt idx="9">
                  <c:v>599</c:v>
                </c:pt>
                <c:pt idx="10">
                  <c:v>159</c:v>
                </c:pt>
                <c:pt idx="11">
                  <c:v>0</c:v>
                </c:pt>
                <c:pt idx="12">
                  <c:v>22</c:v>
                </c:pt>
                <c:pt idx="13">
                  <c:v>22</c:v>
                </c:pt>
                <c:pt idx="14">
                  <c:v>45</c:v>
                </c:pt>
                <c:pt idx="15">
                  <c:v>22</c:v>
                </c:pt>
                <c:pt idx="16">
                  <c:v>22</c:v>
                </c:pt>
                <c:pt idx="17">
                  <c:v>22</c:v>
                </c:pt>
                <c:pt idx="18">
                  <c:v>22</c:v>
                </c:pt>
                <c:pt idx="19">
                  <c:v>22</c:v>
                </c:pt>
                <c:pt idx="20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974-D340-A76B-28089FE0D53C}"/>
            </c:ext>
          </c:extLst>
        </c:ser>
        <c:ser>
          <c:idx val="4"/>
          <c:order val="4"/>
          <c:tx>
            <c:strRef>
              <c:f>'SENSOR FUSION'!$O$2</c:f>
              <c:strCache>
                <c:ptCount val="1"/>
                <c:pt idx="0">
                  <c:v>S5</c:v>
                </c:pt>
              </c:strCache>
            </c:strRef>
          </c:tx>
          <c:spPr>
            <a:ln w="28440">
              <a:solidFill>
                <a:srgbClr val="3D97AF"/>
              </a:solidFill>
              <a:round/>
            </a:ln>
          </c:spPr>
          <c:marker>
            <c:symbol val="circle"/>
            <c:size val="5"/>
            <c:spPr>
              <a:solidFill>
                <a:srgbClr val="3D97A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'SENSOR FUSION'!$J$3:$J$23</c:f>
              <c:numCache>
                <c:formatCode>General</c:formatCode>
                <c:ptCount val="21"/>
                <c:pt idx="0">
                  <c:v>-40</c:v>
                </c:pt>
                <c:pt idx="1">
                  <c:v>-36</c:v>
                </c:pt>
                <c:pt idx="2">
                  <c:v>-32</c:v>
                </c:pt>
                <c:pt idx="3">
                  <c:v>-28</c:v>
                </c:pt>
                <c:pt idx="4">
                  <c:v>-24</c:v>
                </c:pt>
                <c:pt idx="5">
                  <c:v>-20</c:v>
                </c:pt>
                <c:pt idx="6">
                  <c:v>-16</c:v>
                </c:pt>
                <c:pt idx="7">
                  <c:v>-12</c:v>
                </c:pt>
                <c:pt idx="8">
                  <c:v>-8</c:v>
                </c:pt>
                <c:pt idx="9">
                  <c:v>-4</c:v>
                </c:pt>
                <c:pt idx="10">
                  <c:v>0</c:v>
                </c:pt>
                <c:pt idx="11">
                  <c:v>4</c:v>
                </c:pt>
                <c:pt idx="12">
                  <c:v>8</c:v>
                </c:pt>
                <c:pt idx="13">
                  <c:v>12</c:v>
                </c:pt>
                <c:pt idx="14">
                  <c:v>16</c:v>
                </c:pt>
                <c:pt idx="15">
                  <c:v>20</c:v>
                </c:pt>
                <c:pt idx="16">
                  <c:v>24</c:v>
                </c:pt>
                <c:pt idx="17">
                  <c:v>28</c:v>
                </c:pt>
                <c:pt idx="18">
                  <c:v>32</c:v>
                </c:pt>
                <c:pt idx="19">
                  <c:v>36</c:v>
                </c:pt>
                <c:pt idx="20">
                  <c:v>40</c:v>
                </c:pt>
              </c:numCache>
            </c:numRef>
          </c:xVal>
          <c:yVal>
            <c:numRef>
              <c:f>'SENSOR FUSION'!$O$3:$O$23</c:f>
              <c:numCache>
                <c:formatCode>0.0</c:formatCode>
                <c:ptCount val="21"/>
                <c:pt idx="0">
                  <c:v>59</c:v>
                </c:pt>
                <c:pt idx="1">
                  <c:v>59</c:v>
                </c:pt>
                <c:pt idx="2">
                  <c:v>59</c:v>
                </c:pt>
                <c:pt idx="3">
                  <c:v>59</c:v>
                </c:pt>
                <c:pt idx="4">
                  <c:v>59</c:v>
                </c:pt>
                <c:pt idx="5">
                  <c:v>58</c:v>
                </c:pt>
                <c:pt idx="6">
                  <c:v>9</c:v>
                </c:pt>
                <c:pt idx="7">
                  <c:v>0</c:v>
                </c:pt>
                <c:pt idx="8">
                  <c:v>246</c:v>
                </c:pt>
                <c:pt idx="9">
                  <c:v>707</c:v>
                </c:pt>
                <c:pt idx="10">
                  <c:v>1404</c:v>
                </c:pt>
                <c:pt idx="11">
                  <c:v>1102</c:v>
                </c:pt>
                <c:pt idx="12">
                  <c:v>381</c:v>
                </c:pt>
                <c:pt idx="13">
                  <c:v>13</c:v>
                </c:pt>
                <c:pt idx="14">
                  <c:v>59</c:v>
                </c:pt>
                <c:pt idx="15">
                  <c:v>59</c:v>
                </c:pt>
                <c:pt idx="16">
                  <c:v>59</c:v>
                </c:pt>
                <c:pt idx="17">
                  <c:v>59</c:v>
                </c:pt>
                <c:pt idx="18">
                  <c:v>59</c:v>
                </c:pt>
                <c:pt idx="19">
                  <c:v>59</c:v>
                </c:pt>
                <c:pt idx="20">
                  <c:v>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974-D340-A76B-28089FE0D53C}"/>
            </c:ext>
          </c:extLst>
        </c:ser>
        <c:ser>
          <c:idx val="5"/>
          <c:order val="5"/>
          <c:tx>
            <c:strRef>
              <c:f>'SENSOR FUSION'!$P$2</c:f>
              <c:strCache>
                <c:ptCount val="1"/>
                <c:pt idx="0">
                  <c:v>S6</c:v>
                </c:pt>
              </c:strCache>
            </c:strRef>
          </c:tx>
          <c:spPr>
            <a:ln w="28440">
              <a:solidFill>
                <a:srgbClr val="DB8238"/>
              </a:solidFill>
              <a:round/>
            </a:ln>
          </c:spPr>
          <c:marker>
            <c:symbol val="circle"/>
            <c:size val="5"/>
            <c:spPr>
              <a:solidFill>
                <a:srgbClr val="DB823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'SENSOR FUSION'!$J$3:$J$23</c:f>
              <c:numCache>
                <c:formatCode>General</c:formatCode>
                <c:ptCount val="21"/>
                <c:pt idx="0">
                  <c:v>-40</c:v>
                </c:pt>
                <c:pt idx="1">
                  <c:v>-36</c:v>
                </c:pt>
                <c:pt idx="2">
                  <c:v>-32</c:v>
                </c:pt>
                <c:pt idx="3">
                  <c:v>-28</c:v>
                </c:pt>
                <c:pt idx="4">
                  <c:v>-24</c:v>
                </c:pt>
                <c:pt idx="5">
                  <c:v>-20</c:v>
                </c:pt>
                <c:pt idx="6">
                  <c:v>-16</c:v>
                </c:pt>
                <c:pt idx="7">
                  <c:v>-12</c:v>
                </c:pt>
                <c:pt idx="8">
                  <c:v>-8</c:v>
                </c:pt>
                <c:pt idx="9">
                  <c:v>-4</c:v>
                </c:pt>
                <c:pt idx="10">
                  <c:v>0</c:v>
                </c:pt>
                <c:pt idx="11">
                  <c:v>4</c:v>
                </c:pt>
                <c:pt idx="12">
                  <c:v>8</c:v>
                </c:pt>
                <c:pt idx="13">
                  <c:v>12</c:v>
                </c:pt>
                <c:pt idx="14">
                  <c:v>16</c:v>
                </c:pt>
                <c:pt idx="15">
                  <c:v>20</c:v>
                </c:pt>
                <c:pt idx="16">
                  <c:v>24</c:v>
                </c:pt>
                <c:pt idx="17">
                  <c:v>28</c:v>
                </c:pt>
                <c:pt idx="18">
                  <c:v>32</c:v>
                </c:pt>
                <c:pt idx="19">
                  <c:v>36</c:v>
                </c:pt>
                <c:pt idx="20">
                  <c:v>40</c:v>
                </c:pt>
              </c:numCache>
            </c:numRef>
          </c:xVal>
          <c:yVal>
            <c:numRef>
              <c:f>'SENSOR FUSION'!$P$3:$P$23</c:f>
              <c:numCache>
                <c:formatCode>0.0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115</c:v>
                </c:pt>
                <c:pt idx="11">
                  <c:v>546</c:v>
                </c:pt>
                <c:pt idx="12">
                  <c:v>1174</c:v>
                </c:pt>
                <c:pt idx="13">
                  <c:v>1276</c:v>
                </c:pt>
                <c:pt idx="14">
                  <c:v>485</c:v>
                </c:pt>
                <c:pt idx="15">
                  <c:v>115</c:v>
                </c:pt>
                <c:pt idx="16">
                  <c:v>1</c:v>
                </c:pt>
                <c:pt idx="17">
                  <c:v>24</c:v>
                </c:pt>
                <c:pt idx="18">
                  <c:v>24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974-D340-A76B-28089FE0D53C}"/>
            </c:ext>
          </c:extLst>
        </c:ser>
        <c:ser>
          <c:idx val="6"/>
          <c:order val="6"/>
          <c:tx>
            <c:strRef>
              <c:f>'SENSOR FUSION'!$Q$2</c:f>
              <c:strCache>
                <c:ptCount val="1"/>
                <c:pt idx="0">
                  <c:v>S7</c:v>
                </c:pt>
              </c:strCache>
            </c:strRef>
          </c:tx>
          <c:spPr>
            <a:ln w="28440">
              <a:solidFill>
                <a:srgbClr val="8EA5CA"/>
              </a:solidFill>
              <a:round/>
            </a:ln>
          </c:spPr>
          <c:marker>
            <c:symbol val="circle"/>
            <c:size val="5"/>
            <c:spPr>
              <a:solidFill>
                <a:srgbClr val="8EA5CA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'SENSOR FUSION'!$J$3:$J$23</c:f>
              <c:numCache>
                <c:formatCode>General</c:formatCode>
                <c:ptCount val="21"/>
                <c:pt idx="0">
                  <c:v>-40</c:v>
                </c:pt>
                <c:pt idx="1">
                  <c:v>-36</c:v>
                </c:pt>
                <c:pt idx="2">
                  <c:v>-32</c:v>
                </c:pt>
                <c:pt idx="3">
                  <c:v>-28</c:v>
                </c:pt>
                <c:pt idx="4">
                  <c:v>-24</c:v>
                </c:pt>
                <c:pt idx="5">
                  <c:v>-20</c:v>
                </c:pt>
                <c:pt idx="6">
                  <c:v>-16</c:v>
                </c:pt>
                <c:pt idx="7">
                  <c:v>-12</c:v>
                </c:pt>
                <c:pt idx="8">
                  <c:v>-8</c:v>
                </c:pt>
                <c:pt idx="9">
                  <c:v>-4</c:v>
                </c:pt>
                <c:pt idx="10">
                  <c:v>0</c:v>
                </c:pt>
                <c:pt idx="11">
                  <c:v>4</c:v>
                </c:pt>
                <c:pt idx="12">
                  <c:v>8</c:v>
                </c:pt>
                <c:pt idx="13">
                  <c:v>12</c:v>
                </c:pt>
                <c:pt idx="14">
                  <c:v>16</c:v>
                </c:pt>
                <c:pt idx="15">
                  <c:v>20</c:v>
                </c:pt>
                <c:pt idx="16">
                  <c:v>24</c:v>
                </c:pt>
                <c:pt idx="17">
                  <c:v>28</c:v>
                </c:pt>
                <c:pt idx="18">
                  <c:v>32</c:v>
                </c:pt>
                <c:pt idx="19">
                  <c:v>36</c:v>
                </c:pt>
                <c:pt idx="20">
                  <c:v>40</c:v>
                </c:pt>
              </c:numCache>
            </c:numRef>
          </c:xVal>
          <c:yVal>
            <c:numRef>
              <c:f>'SENSOR FUSION'!$Q$3:$Q$23</c:f>
              <c:numCache>
                <c:formatCode>0.0</c:formatCode>
                <c:ptCount val="21"/>
                <c:pt idx="0">
                  <c:v>59</c:v>
                </c:pt>
                <c:pt idx="1">
                  <c:v>55</c:v>
                </c:pt>
                <c:pt idx="2">
                  <c:v>64</c:v>
                </c:pt>
                <c:pt idx="3">
                  <c:v>68</c:v>
                </c:pt>
                <c:pt idx="4">
                  <c:v>69</c:v>
                </c:pt>
                <c:pt idx="5">
                  <c:v>68</c:v>
                </c:pt>
                <c:pt idx="6">
                  <c:v>68</c:v>
                </c:pt>
                <c:pt idx="7">
                  <c:v>68</c:v>
                </c:pt>
                <c:pt idx="8">
                  <c:v>68</c:v>
                </c:pt>
                <c:pt idx="9">
                  <c:v>69</c:v>
                </c:pt>
                <c:pt idx="10">
                  <c:v>68</c:v>
                </c:pt>
                <c:pt idx="11">
                  <c:v>46</c:v>
                </c:pt>
                <c:pt idx="12">
                  <c:v>114</c:v>
                </c:pt>
                <c:pt idx="13">
                  <c:v>494</c:v>
                </c:pt>
                <c:pt idx="14">
                  <c:v>1797</c:v>
                </c:pt>
                <c:pt idx="15">
                  <c:v>1797</c:v>
                </c:pt>
                <c:pt idx="16">
                  <c:v>1040</c:v>
                </c:pt>
                <c:pt idx="17">
                  <c:v>346</c:v>
                </c:pt>
                <c:pt idx="18">
                  <c:v>0</c:v>
                </c:pt>
                <c:pt idx="19">
                  <c:v>23</c:v>
                </c:pt>
                <c:pt idx="20">
                  <c:v>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974-D340-A76B-28089FE0D53C}"/>
            </c:ext>
          </c:extLst>
        </c:ser>
        <c:ser>
          <c:idx val="7"/>
          <c:order val="7"/>
          <c:tx>
            <c:strRef>
              <c:f>'SENSOR FUSION'!$R$2</c:f>
              <c:strCache>
                <c:ptCount val="1"/>
                <c:pt idx="0">
                  <c:v>S8</c:v>
                </c:pt>
              </c:strCache>
            </c:strRef>
          </c:tx>
          <c:spPr>
            <a:ln w="28440">
              <a:solidFill>
                <a:srgbClr val="CC8F8E"/>
              </a:solidFill>
              <a:round/>
            </a:ln>
          </c:spPr>
          <c:marker>
            <c:symbol val="circle"/>
            <c:size val="5"/>
            <c:spPr>
              <a:solidFill>
                <a:srgbClr val="CC8F8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'SENSOR FUSION'!$J$3:$J$23</c:f>
              <c:numCache>
                <c:formatCode>General</c:formatCode>
                <c:ptCount val="21"/>
                <c:pt idx="0">
                  <c:v>-40</c:v>
                </c:pt>
                <c:pt idx="1">
                  <c:v>-36</c:v>
                </c:pt>
                <c:pt idx="2">
                  <c:v>-32</c:v>
                </c:pt>
                <c:pt idx="3">
                  <c:v>-28</c:v>
                </c:pt>
                <c:pt idx="4">
                  <c:v>-24</c:v>
                </c:pt>
                <c:pt idx="5">
                  <c:v>-20</c:v>
                </c:pt>
                <c:pt idx="6">
                  <c:v>-16</c:v>
                </c:pt>
                <c:pt idx="7">
                  <c:v>-12</c:v>
                </c:pt>
                <c:pt idx="8">
                  <c:v>-8</c:v>
                </c:pt>
                <c:pt idx="9">
                  <c:v>-4</c:v>
                </c:pt>
                <c:pt idx="10">
                  <c:v>0</c:v>
                </c:pt>
                <c:pt idx="11">
                  <c:v>4</c:v>
                </c:pt>
                <c:pt idx="12">
                  <c:v>8</c:v>
                </c:pt>
                <c:pt idx="13">
                  <c:v>12</c:v>
                </c:pt>
                <c:pt idx="14">
                  <c:v>16</c:v>
                </c:pt>
                <c:pt idx="15">
                  <c:v>20</c:v>
                </c:pt>
                <c:pt idx="16">
                  <c:v>24</c:v>
                </c:pt>
                <c:pt idx="17">
                  <c:v>28</c:v>
                </c:pt>
                <c:pt idx="18">
                  <c:v>32</c:v>
                </c:pt>
                <c:pt idx="19">
                  <c:v>36</c:v>
                </c:pt>
                <c:pt idx="20">
                  <c:v>40</c:v>
                </c:pt>
              </c:numCache>
            </c:numRef>
          </c:xVal>
          <c:yVal>
            <c:numRef>
              <c:f>'SENSOR FUSION'!$R$3:$R$23</c:f>
              <c:numCache>
                <c:formatCode>0.0</c:formatCode>
                <c:ptCount val="21"/>
                <c:pt idx="0">
                  <c:v>51</c:v>
                </c:pt>
                <c:pt idx="1">
                  <c:v>50</c:v>
                </c:pt>
                <c:pt idx="2">
                  <c:v>50</c:v>
                </c:pt>
                <c:pt idx="3">
                  <c:v>49</c:v>
                </c:pt>
                <c:pt idx="4">
                  <c:v>50</c:v>
                </c:pt>
                <c:pt idx="5">
                  <c:v>49</c:v>
                </c:pt>
                <c:pt idx="6">
                  <c:v>49</c:v>
                </c:pt>
                <c:pt idx="7">
                  <c:v>49</c:v>
                </c:pt>
                <c:pt idx="8">
                  <c:v>49</c:v>
                </c:pt>
                <c:pt idx="9">
                  <c:v>50</c:v>
                </c:pt>
                <c:pt idx="10">
                  <c:v>49</c:v>
                </c:pt>
                <c:pt idx="11">
                  <c:v>54</c:v>
                </c:pt>
                <c:pt idx="12">
                  <c:v>72</c:v>
                </c:pt>
                <c:pt idx="13">
                  <c:v>50</c:v>
                </c:pt>
                <c:pt idx="14">
                  <c:v>95</c:v>
                </c:pt>
                <c:pt idx="15">
                  <c:v>466</c:v>
                </c:pt>
                <c:pt idx="16">
                  <c:v>1663</c:v>
                </c:pt>
                <c:pt idx="17">
                  <c:v>1663</c:v>
                </c:pt>
                <c:pt idx="18">
                  <c:v>1663</c:v>
                </c:pt>
                <c:pt idx="19">
                  <c:v>608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974-D340-A76B-28089FE0D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988418"/>
        <c:axId val="69893849"/>
      </c:scatterChart>
      <c:valAx>
        <c:axId val="77988418"/>
        <c:scaling>
          <c:orientation val="minMax"/>
          <c:max val="50"/>
          <c:min val="-5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893849"/>
        <c:crosses val="autoZero"/>
        <c:crossBetween val="midCat"/>
        <c:majorUnit val="10"/>
      </c:valAx>
      <c:valAx>
        <c:axId val="69893849"/>
        <c:scaling>
          <c:orientation val="minMax"/>
          <c:max val="20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98841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NORMALIZED TO 1000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'SENSOR FUSION'!$T$2</c:f>
              <c:strCache>
                <c:ptCount val="1"/>
                <c:pt idx="0">
                  <c:v>S1</c:v>
                </c:pt>
              </c:strCache>
            </c:strRef>
          </c:tx>
          <c:spPr>
            <a:ln w="28440">
              <a:solidFill>
                <a:srgbClr val="426FA6"/>
              </a:solidFill>
              <a:round/>
            </a:ln>
          </c:spPr>
          <c:marker>
            <c:symbol val="circle"/>
            <c:size val="5"/>
            <c:spPr>
              <a:solidFill>
                <a:srgbClr val="426FA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'SENSOR FUSION'!$S$3:$S$23</c:f>
              <c:numCache>
                <c:formatCode>General</c:formatCode>
                <c:ptCount val="21"/>
                <c:pt idx="0">
                  <c:v>-40</c:v>
                </c:pt>
                <c:pt idx="1">
                  <c:v>-36</c:v>
                </c:pt>
                <c:pt idx="2">
                  <c:v>-32</c:v>
                </c:pt>
                <c:pt idx="3">
                  <c:v>-28</c:v>
                </c:pt>
                <c:pt idx="4">
                  <c:v>-24</c:v>
                </c:pt>
                <c:pt idx="5">
                  <c:v>-20</c:v>
                </c:pt>
                <c:pt idx="6">
                  <c:v>-16</c:v>
                </c:pt>
                <c:pt idx="7">
                  <c:v>-12</c:v>
                </c:pt>
                <c:pt idx="8">
                  <c:v>-8</c:v>
                </c:pt>
                <c:pt idx="9">
                  <c:v>-4</c:v>
                </c:pt>
                <c:pt idx="10">
                  <c:v>0</c:v>
                </c:pt>
                <c:pt idx="11">
                  <c:v>4</c:v>
                </c:pt>
                <c:pt idx="12">
                  <c:v>8</c:v>
                </c:pt>
                <c:pt idx="13">
                  <c:v>12</c:v>
                </c:pt>
                <c:pt idx="14">
                  <c:v>16</c:v>
                </c:pt>
                <c:pt idx="15">
                  <c:v>20</c:v>
                </c:pt>
                <c:pt idx="16">
                  <c:v>24</c:v>
                </c:pt>
                <c:pt idx="17">
                  <c:v>28</c:v>
                </c:pt>
                <c:pt idx="18">
                  <c:v>32</c:v>
                </c:pt>
                <c:pt idx="19">
                  <c:v>36</c:v>
                </c:pt>
                <c:pt idx="20">
                  <c:v>40</c:v>
                </c:pt>
              </c:numCache>
            </c:numRef>
          </c:xVal>
          <c:yVal>
            <c:numRef>
              <c:f>'SENSOR FUSION'!$T$3:$T$23</c:f>
              <c:numCache>
                <c:formatCode>0.0</c:formatCode>
                <c:ptCount val="21"/>
                <c:pt idx="0">
                  <c:v>1000</c:v>
                </c:pt>
                <c:pt idx="1">
                  <c:v>1000</c:v>
                </c:pt>
                <c:pt idx="2">
                  <c:v>688.46611177170041</c:v>
                </c:pt>
                <c:pt idx="3">
                  <c:v>95.719381688466115</c:v>
                </c:pt>
                <c:pt idx="4">
                  <c:v>0</c:v>
                </c:pt>
                <c:pt idx="5">
                  <c:v>20.808561236623067</c:v>
                </c:pt>
                <c:pt idx="6">
                  <c:v>26.753864447086801</c:v>
                </c:pt>
                <c:pt idx="7">
                  <c:v>26.753864447086801</c:v>
                </c:pt>
                <c:pt idx="8">
                  <c:v>26.753864447086801</c:v>
                </c:pt>
                <c:pt idx="9">
                  <c:v>27.348394768133176</c:v>
                </c:pt>
                <c:pt idx="10">
                  <c:v>26.753864447086801</c:v>
                </c:pt>
                <c:pt idx="11">
                  <c:v>27.348394768133176</c:v>
                </c:pt>
                <c:pt idx="12">
                  <c:v>26.753864447086801</c:v>
                </c:pt>
                <c:pt idx="13">
                  <c:v>27.348394768133176</c:v>
                </c:pt>
                <c:pt idx="14">
                  <c:v>26.753864447086801</c:v>
                </c:pt>
                <c:pt idx="15">
                  <c:v>27.348394768133176</c:v>
                </c:pt>
                <c:pt idx="16">
                  <c:v>27.348394768133176</c:v>
                </c:pt>
                <c:pt idx="17">
                  <c:v>27.348394768133176</c:v>
                </c:pt>
                <c:pt idx="18">
                  <c:v>27.94292508917955</c:v>
                </c:pt>
                <c:pt idx="19">
                  <c:v>27.348394768133176</c:v>
                </c:pt>
                <c:pt idx="20">
                  <c:v>27.94292508917955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4B-4F4F-9A4E-6EEB2420B18B}"/>
            </c:ext>
          </c:extLst>
        </c:ser>
        <c:ser>
          <c:idx val="1"/>
          <c:order val="1"/>
          <c:tx>
            <c:strRef>
              <c:f>'SENSOR FUSION'!$U$2</c:f>
              <c:strCache>
                <c:ptCount val="1"/>
                <c:pt idx="0">
                  <c:v>S2</c:v>
                </c:pt>
              </c:strCache>
            </c:strRef>
          </c:tx>
          <c:spPr>
            <a:ln w="28440">
              <a:solidFill>
                <a:srgbClr val="AA433F"/>
              </a:solidFill>
              <a:round/>
            </a:ln>
          </c:spPr>
          <c:marker>
            <c:symbol val="circle"/>
            <c:size val="5"/>
            <c:spPr>
              <a:solidFill>
                <a:srgbClr val="AA433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'SENSOR FUSION'!$S$3:$S$23</c:f>
              <c:numCache>
                <c:formatCode>General</c:formatCode>
                <c:ptCount val="21"/>
                <c:pt idx="0">
                  <c:v>-40</c:v>
                </c:pt>
                <c:pt idx="1">
                  <c:v>-36</c:v>
                </c:pt>
                <c:pt idx="2">
                  <c:v>-32</c:v>
                </c:pt>
                <c:pt idx="3">
                  <c:v>-28</c:v>
                </c:pt>
                <c:pt idx="4">
                  <c:v>-24</c:v>
                </c:pt>
                <c:pt idx="5">
                  <c:v>-20</c:v>
                </c:pt>
                <c:pt idx="6">
                  <c:v>-16</c:v>
                </c:pt>
                <c:pt idx="7">
                  <c:v>-12</c:v>
                </c:pt>
                <c:pt idx="8">
                  <c:v>-8</c:v>
                </c:pt>
                <c:pt idx="9">
                  <c:v>-4</c:v>
                </c:pt>
                <c:pt idx="10">
                  <c:v>0</c:v>
                </c:pt>
                <c:pt idx="11">
                  <c:v>4</c:v>
                </c:pt>
                <c:pt idx="12">
                  <c:v>8</c:v>
                </c:pt>
                <c:pt idx="13">
                  <c:v>12</c:v>
                </c:pt>
                <c:pt idx="14">
                  <c:v>16</c:v>
                </c:pt>
                <c:pt idx="15">
                  <c:v>20</c:v>
                </c:pt>
                <c:pt idx="16">
                  <c:v>24</c:v>
                </c:pt>
                <c:pt idx="17">
                  <c:v>28</c:v>
                </c:pt>
                <c:pt idx="18">
                  <c:v>32</c:v>
                </c:pt>
                <c:pt idx="19">
                  <c:v>36</c:v>
                </c:pt>
                <c:pt idx="20">
                  <c:v>40</c:v>
                </c:pt>
              </c:numCache>
            </c:numRef>
          </c:xVal>
          <c:yVal>
            <c:numRef>
              <c:f>'SENSOR FUSION'!$U$3:$U$23</c:f>
              <c:numCache>
                <c:formatCode>0.0</c:formatCode>
                <c:ptCount val="21"/>
                <c:pt idx="0">
                  <c:v>2.8105677346824058</c:v>
                </c:pt>
                <c:pt idx="1">
                  <c:v>132.09668353007308</c:v>
                </c:pt>
                <c:pt idx="2">
                  <c:v>614.39010680157389</c:v>
                </c:pt>
                <c:pt idx="3">
                  <c:v>1000</c:v>
                </c:pt>
                <c:pt idx="4">
                  <c:v>758.85328836424958</c:v>
                </c:pt>
                <c:pt idx="5">
                  <c:v>222.59696458684655</c:v>
                </c:pt>
                <c:pt idx="6">
                  <c:v>2.2484541877459248</c:v>
                </c:pt>
                <c:pt idx="7">
                  <c:v>0</c:v>
                </c:pt>
                <c:pt idx="8">
                  <c:v>15.177065767284992</c:v>
                </c:pt>
                <c:pt idx="9">
                  <c:v>2.8105677346824058</c:v>
                </c:pt>
                <c:pt idx="10">
                  <c:v>2.2484541877459248</c:v>
                </c:pt>
                <c:pt idx="11">
                  <c:v>2.8105677346824058</c:v>
                </c:pt>
                <c:pt idx="12">
                  <c:v>2.8105677346824058</c:v>
                </c:pt>
                <c:pt idx="13">
                  <c:v>2.8105677346824058</c:v>
                </c:pt>
                <c:pt idx="14">
                  <c:v>2.8105677346824058</c:v>
                </c:pt>
                <c:pt idx="15">
                  <c:v>2.8105677346824058</c:v>
                </c:pt>
                <c:pt idx="16">
                  <c:v>2.8105677346824058</c:v>
                </c:pt>
                <c:pt idx="17">
                  <c:v>2.8105677346824058</c:v>
                </c:pt>
                <c:pt idx="18">
                  <c:v>2.8105677346824058</c:v>
                </c:pt>
                <c:pt idx="19">
                  <c:v>2.8105677346824058</c:v>
                </c:pt>
                <c:pt idx="20">
                  <c:v>2.8105677346824058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4B-4F4F-9A4E-6EEB2420B18B}"/>
            </c:ext>
          </c:extLst>
        </c:ser>
        <c:ser>
          <c:idx val="2"/>
          <c:order val="2"/>
          <c:tx>
            <c:strRef>
              <c:f>'SENSOR FUSION'!$V$2</c:f>
              <c:strCache>
                <c:ptCount val="1"/>
                <c:pt idx="0">
                  <c:v>S3</c:v>
                </c:pt>
              </c:strCache>
            </c:strRef>
          </c:tx>
          <c:spPr>
            <a:ln w="28440">
              <a:solidFill>
                <a:srgbClr val="87A44B"/>
              </a:solidFill>
              <a:round/>
            </a:ln>
          </c:spPr>
          <c:marker>
            <c:symbol val="circle"/>
            <c:size val="5"/>
            <c:spPr>
              <a:solidFill>
                <a:srgbClr val="87A44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'SENSOR FUSION'!$S$3:$S$23</c:f>
              <c:numCache>
                <c:formatCode>General</c:formatCode>
                <c:ptCount val="21"/>
                <c:pt idx="0">
                  <c:v>-40</c:v>
                </c:pt>
                <c:pt idx="1">
                  <c:v>-36</c:v>
                </c:pt>
                <c:pt idx="2">
                  <c:v>-32</c:v>
                </c:pt>
                <c:pt idx="3">
                  <c:v>-28</c:v>
                </c:pt>
                <c:pt idx="4">
                  <c:v>-24</c:v>
                </c:pt>
                <c:pt idx="5">
                  <c:v>-20</c:v>
                </c:pt>
                <c:pt idx="6">
                  <c:v>-16</c:v>
                </c:pt>
                <c:pt idx="7">
                  <c:v>-12</c:v>
                </c:pt>
                <c:pt idx="8">
                  <c:v>-8</c:v>
                </c:pt>
                <c:pt idx="9">
                  <c:v>-4</c:v>
                </c:pt>
                <c:pt idx="10">
                  <c:v>0</c:v>
                </c:pt>
                <c:pt idx="11">
                  <c:v>4</c:v>
                </c:pt>
                <c:pt idx="12">
                  <c:v>8</c:v>
                </c:pt>
                <c:pt idx="13">
                  <c:v>12</c:v>
                </c:pt>
                <c:pt idx="14">
                  <c:v>16</c:v>
                </c:pt>
                <c:pt idx="15">
                  <c:v>20</c:v>
                </c:pt>
                <c:pt idx="16">
                  <c:v>24</c:v>
                </c:pt>
                <c:pt idx="17">
                  <c:v>28</c:v>
                </c:pt>
                <c:pt idx="18">
                  <c:v>32</c:v>
                </c:pt>
                <c:pt idx="19">
                  <c:v>36</c:v>
                </c:pt>
                <c:pt idx="20">
                  <c:v>40</c:v>
                </c:pt>
              </c:numCache>
            </c:numRef>
          </c:xVal>
          <c:yVal>
            <c:numRef>
              <c:f>'SENSOR FUSION'!$V$3:$V$23</c:f>
              <c:numCache>
                <c:formatCode>0.0</c:formatCode>
                <c:ptCount val="21"/>
                <c:pt idx="0">
                  <c:v>36.016949152542374</c:v>
                </c:pt>
                <c:pt idx="1">
                  <c:v>36.016949152542374</c:v>
                </c:pt>
                <c:pt idx="2">
                  <c:v>36.016949152542374</c:v>
                </c:pt>
                <c:pt idx="3">
                  <c:v>145.12711864406779</c:v>
                </c:pt>
                <c:pt idx="4">
                  <c:v>403.07203389830511</c:v>
                </c:pt>
                <c:pt idx="5">
                  <c:v>1000</c:v>
                </c:pt>
                <c:pt idx="6">
                  <c:v>1000</c:v>
                </c:pt>
                <c:pt idx="7">
                  <c:v>403.07203389830511</c:v>
                </c:pt>
                <c:pt idx="8">
                  <c:v>52.436440677966104</c:v>
                </c:pt>
                <c:pt idx="9">
                  <c:v>0</c:v>
                </c:pt>
                <c:pt idx="10">
                  <c:v>23.834745762711865</c:v>
                </c:pt>
                <c:pt idx="11">
                  <c:v>36.016949152542374</c:v>
                </c:pt>
                <c:pt idx="12">
                  <c:v>36.016949152542374</c:v>
                </c:pt>
                <c:pt idx="13">
                  <c:v>36.016949152542374</c:v>
                </c:pt>
                <c:pt idx="14">
                  <c:v>36.016949152542374</c:v>
                </c:pt>
                <c:pt idx="15">
                  <c:v>36.016949152542374</c:v>
                </c:pt>
                <c:pt idx="16">
                  <c:v>36.016949152542374</c:v>
                </c:pt>
                <c:pt idx="17">
                  <c:v>36.016949152542374</c:v>
                </c:pt>
                <c:pt idx="18">
                  <c:v>36.016949152542374</c:v>
                </c:pt>
                <c:pt idx="19">
                  <c:v>36.016949152542374</c:v>
                </c:pt>
                <c:pt idx="20">
                  <c:v>36.016949152542374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4B-4F4F-9A4E-6EEB2420B18B}"/>
            </c:ext>
          </c:extLst>
        </c:ser>
        <c:ser>
          <c:idx val="3"/>
          <c:order val="3"/>
          <c:tx>
            <c:strRef>
              <c:f>'SENSOR FUSION'!$W$2</c:f>
              <c:strCache>
                <c:ptCount val="1"/>
                <c:pt idx="0">
                  <c:v>S4</c:v>
                </c:pt>
              </c:strCache>
            </c:strRef>
          </c:tx>
          <c:spPr>
            <a:ln w="28440">
              <a:solidFill>
                <a:srgbClr val="6F568D"/>
              </a:solidFill>
              <a:round/>
            </a:ln>
          </c:spPr>
          <c:marker>
            <c:symbol val="circle"/>
            <c:size val="5"/>
            <c:spPr>
              <a:solidFill>
                <a:srgbClr val="6F568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'SENSOR FUSION'!$S$3:$S$23</c:f>
              <c:numCache>
                <c:formatCode>General</c:formatCode>
                <c:ptCount val="21"/>
                <c:pt idx="0">
                  <c:v>-40</c:v>
                </c:pt>
                <c:pt idx="1">
                  <c:v>-36</c:v>
                </c:pt>
                <c:pt idx="2">
                  <c:v>-32</c:v>
                </c:pt>
                <c:pt idx="3">
                  <c:v>-28</c:v>
                </c:pt>
                <c:pt idx="4">
                  <c:v>-24</c:v>
                </c:pt>
                <c:pt idx="5">
                  <c:v>-20</c:v>
                </c:pt>
                <c:pt idx="6">
                  <c:v>-16</c:v>
                </c:pt>
                <c:pt idx="7">
                  <c:v>-12</c:v>
                </c:pt>
                <c:pt idx="8">
                  <c:v>-8</c:v>
                </c:pt>
                <c:pt idx="9">
                  <c:v>-4</c:v>
                </c:pt>
                <c:pt idx="10">
                  <c:v>0</c:v>
                </c:pt>
                <c:pt idx="11">
                  <c:v>4</c:v>
                </c:pt>
                <c:pt idx="12">
                  <c:v>8</c:v>
                </c:pt>
                <c:pt idx="13">
                  <c:v>12</c:v>
                </c:pt>
                <c:pt idx="14">
                  <c:v>16</c:v>
                </c:pt>
                <c:pt idx="15">
                  <c:v>20</c:v>
                </c:pt>
                <c:pt idx="16">
                  <c:v>24</c:v>
                </c:pt>
                <c:pt idx="17">
                  <c:v>28</c:v>
                </c:pt>
                <c:pt idx="18">
                  <c:v>32</c:v>
                </c:pt>
                <c:pt idx="19">
                  <c:v>36</c:v>
                </c:pt>
                <c:pt idx="20">
                  <c:v>40</c:v>
                </c:pt>
              </c:numCache>
            </c:numRef>
          </c:xVal>
          <c:yVal>
            <c:numRef>
              <c:f>'SENSOR FUSION'!$W$3:$W$23</c:f>
              <c:numCache>
                <c:formatCode>0.0</c:formatCode>
                <c:ptCount val="21"/>
                <c:pt idx="0">
                  <c:v>38.135593220338983</c:v>
                </c:pt>
                <c:pt idx="1">
                  <c:v>38.135593220338983</c:v>
                </c:pt>
                <c:pt idx="2">
                  <c:v>38.135593220338983</c:v>
                </c:pt>
                <c:pt idx="3">
                  <c:v>18.64406779661017</c:v>
                </c:pt>
                <c:pt idx="4">
                  <c:v>19.491525423728813</c:v>
                </c:pt>
                <c:pt idx="5">
                  <c:v>115.2542372881356</c:v>
                </c:pt>
                <c:pt idx="6">
                  <c:v>428.81355932203388</c:v>
                </c:pt>
                <c:pt idx="7">
                  <c:v>1000</c:v>
                </c:pt>
                <c:pt idx="8">
                  <c:v>988.98305084745766</c:v>
                </c:pt>
                <c:pt idx="9">
                  <c:v>507.62711864406782</c:v>
                </c:pt>
                <c:pt idx="10">
                  <c:v>134.74576271186442</c:v>
                </c:pt>
                <c:pt idx="11">
                  <c:v>0</c:v>
                </c:pt>
                <c:pt idx="12">
                  <c:v>18.64406779661017</c:v>
                </c:pt>
                <c:pt idx="13">
                  <c:v>18.64406779661017</c:v>
                </c:pt>
                <c:pt idx="14">
                  <c:v>38.135593220338983</c:v>
                </c:pt>
                <c:pt idx="15">
                  <c:v>18.64406779661017</c:v>
                </c:pt>
                <c:pt idx="16">
                  <c:v>18.64406779661017</c:v>
                </c:pt>
                <c:pt idx="17">
                  <c:v>18.64406779661017</c:v>
                </c:pt>
                <c:pt idx="18">
                  <c:v>18.64406779661017</c:v>
                </c:pt>
                <c:pt idx="19">
                  <c:v>18.64406779661017</c:v>
                </c:pt>
                <c:pt idx="20">
                  <c:v>18.64406779661017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74B-4F4F-9A4E-6EEB2420B18B}"/>
            </c:ext>
          </c:extLst>
        </c:ser>
        <c:ser>
          <c:idx val="4"/>
          <c:order val="4"/>
          <c:tx>
            <c:strRef>
              <c:f>'SENSOR FUSION'!$X$2</c:f>
              <c:strCache>
                <c:ptCount val="1"/>
                <c:pt idx="0">
                  <c:v>S5</c:v>
                </c:pt>
              </c:strCache>
            </c:strRef>
          </c:tx>
          <c:spPr>
            <a:ln w="28440">
              <a:solidFill>
                <a:srgbClr val="3D97AF"/>
              </a:solidFill>
              <a:round/>
            </a:ln>
          </c:spPr>
          <c:marker>
            <c:symbol val="circle"/>
            <c:size val="5"/>
            <c:spPr>
              <a:solidFill>
                <a:srgbClr val="3D97A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'SENSOR FUSION'!$S$3:$S$23</c:f>
              <c:numCache>
                <c:formatCode>General</c:formatCode>
                <c:ptCount val="21"/>
                <c:pt idx="0">
                  <c:v>-40</c:v>
                </c:pt>
                <c:pt idx="1">
                  <c:v>-36</c:v>
                </c:pt>
                <c:pt idx="2">
                  <c:v>-32</c:v>
                </c:pt>
                <c:pt idx="3">
                  <c:v>-28</c:v>
                </c:pt>
                <c:pt idx="4">
                  <c:v>-24</c:v>
                </c:pt>
                <c:pt idx="5">
                  <c:v>-20</c:v>
                </c:pt>
                <c:pt idx="6">
                  <c:v>-16</c:v>
                </c:pt>
                <c:pt idx="7">
                  <c:v>-12</c:v>
                </c:pt>
                <c:pt idx="8">
                  <c:v>-8</c:v>
                </c:pt>
                <c:pt idx="9">
                  <c:v>-4</c:v>
                </c:pt>
                <c:pt idx="10">
                  <c:v>0</c:v>
                </c:pt>
                <c:pt idx="11">
                  <c:v>4</c:v>
                </c:pt>
                <c:pt idx="12">
                  <c:v>8</c:v>
                </c:pt>
                <c:pt idx="13">
                  <c:v>12</c:v>
                </c:pt>
                <c:pt idx="14">
                  <c:v>16</c:v>
                </c:pt>
                <c:pt idx="15">
                  <c:v>20</c:v>
                </c:pt>
                <c:pt idx="16">
                  <c:v>24</c:v>
                </c:pt>
                <c:pt idx="17">
                  <c:v>28</c:v>
                </c:pt>
                <c:pt idx="18">
                  <c:v>32</c:v>
                </c:pt>
                <c:pt idx="19">
                  <c:v>36</c:v>
                </c:pt>
                <c:pt idx="20">
                  <c:v>40</c:v>
                </c:pt>
              </c:numCache>
            </c:numRef>
          </c:xVal>
          <c:yVal>
            <c:numRef>
              <c:f>'SENSOR FUSION'!$X$3:$X$23</c:f>
              <c:numCache>
                <c:formatCode>0.0</c:formatCode>
                <c:ptCount val="21"/>
                <c:pt idx="0">
                  <c:v>42.022792022792025</c:v>
                </c:pt>
                <c:pt idx="1">
                  <c:v>42.022792022792025</c:v>
                </c:pt>
                <c:pt idx="2">
                  <c:v>42.022792022792025</c:v>
                </c:pt>
                <c:pt idx="3">
                  <c:v>42.022792022792025</c:v>
                </c:pt>
                <c:pt idx="4">
                  <c:v>42.022792022792025</c:v>
                </c:pt>
                <c:pt idx="5">
                  <c:v>41.310541310541311</c:v>
                </c:pt>
                <c:pt idx="6">
                  <c:v>6.4102564102564106</c:v>
                </c:pt>
                <c:pt idx="7">
                  <c:v>0</c:v>
                </c:pt>
                <c:pt idx="8">
                  <c:v>175.2136752136752</c:v>
                </c:pt>
                <c:pt idx="9">
                  <c:v>503.56125356125358</c:v>
                </c:pt>
                <c:pt idx="10">
                  <c:v>1000</c:v>
                </c:pt>
                <c:pt idx="11">
                  <c:v>784.90028490028487</c:v>
                </c:pt>
                <c:pt idx="12">
                  <c:v>271.36752136752136</c:v>
                </c:pt>
                <c:pt idx="13">
                  <c:v>9.2592592592592595</c:v>
                </c:pt>
                <c:pt idx="14">
                  <c:v>42.022792022792025</c:v>
                </c:pt>
                <c:pt idx="15">
                  <c:v>42.022792022792025</c:v>
                </c:pt>
                <c:pt idx="16">
                  <c:v>42.022792022792025</c:v>
                </c:pt>
                <c:pt idx="17">
                  <c:v>42.022792022792025</c:v>
                </c:pt>
                <c:pt idx="18">
                  <c:v>42.022792022792025</c:v>
                </c:pt>
                <c:pt idx="19">
                  <c:v>42.022792022792025</c:v>
                </c:pt>
                <c:pt idx="20">
                  <c:v>42.022792022792025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74B-4F4F-9A4E-6EEB2420B18B}"/>
            </c:ext>
          </c:extLst>
        </c:ser>
        <c:ser>
          <c:idx val="5"/>
          <c:order val="5"/>
          <c:tx>
            <c:strRef>
              <c:f>'SENSOR FUSION'!$Y$2</c:f>
              <c:strCache>
                <c:ptCount val="1"/>
                <c:pt idx="0">
                  <c:v>S6</c:v>
                </c:pt>
              </c:strCache>
            </c:strRef>
          </c:tx>
          <c:spPr>
            <a:ln w="28440">
              <a:solidFill>
                <a:srgbClr val="DB8238"/>
              </a:solidFill>
              <a:round/>
            </a:ln>
          </c:spPr>
          <c:marker>
            <c:symbol val="circle"/>
            <c:size val="5"/>
            <c:spPr>
              <a:solidFill>
                <a:srgbClr val="DB823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'SENSOR FUSION'!$S$3:$S$23</c:f>
              <c:numCache>
                <c:formatCode>General</c:formatCode>
                <c:ptCount val="21"/>
                <c:pt idx="0">
                  <c:v>-40</c:v>
                </c:pt>
                <c:pt idx="1">
                  <c:v>-36</c:v>
                </c:pt>
                <c:pt idx="2">
                  <c:v>-32</c:v>
                </c:pt>
                <c:pt idx="3">
                  <c:v>-28</c:v>
                </c:pt>
                <c:pt idx="4">
                  <c:v>-24</c:v>
                </c:pt>
                <c:pt idx="5">
                  <c:v>-20</c:v>
                </c:pt>
                <c:pt idx="6">
                  <c:v>-16</c:v>
                </c:pt>
                <c:pt idx="7">
                  <c:v>-12</c:v>
                </c:pt>
                <c:pt idx="8">
                  <c:v>-8</c:v>
                </c:pt>
                <c:pt idx="9">
                  <c:v>-4</c:v>
                </c:pt>
                <c:pt idx="10">
                  <c:v>0</c:v>
                </c:pt>
                <c:pt idx="11">
                  <c:v>4</c:v>
                </c:pt>
                <c:pt idx="12">
                  <c:v>8</c:v>
                </c:pt>
                <c:pt idx="13">
                  <c:v>12</c:v>
                </c:pt>
                <c:pt idx="14">
                  <c:v>16</c:v>
                </c:pt>
                <c:pt idx="15">
                  <c:v>20</c:v>
                </c:pt>
                <c:pt idx="16">
                  <c:v>24</c:v>
                </c:pt>
                <c:pt idx="17">
                  <c:v>28</c:v>
                </c:pt>
                <c:pt idx="18">
                  <c:v>32</c:v>
                </c:pt>
                <c:pt idx="19">
                  <c:v>36</c:v>
                </c:pt>
                <c:pt idx="20">
                  <c:v>40</c:v>
                </c:pt>
              </c:numCache>
            </c:numRef>
          </c:xVal>
          <c:yVal>
            <c:numRef>
              <c:f>'SENSOR FUSION'!$Y$3:$Y$23</c:f>
              <c:numCache>
                <c:formatCode>0.0</c:formatCode>
                <c:ptCount val="21"/>
                <c:pt idx="0">
                  <c:v>0.78369905956112851</c:v>
                </c:pt>
                <c:pt idx="1">
                  <c:v>0.78369905956112851</c:v>
                </c:pt>
                <c:pt idx="2">
                  <c:v>0.78369905956112851</c:v>
                </c:pt>
                <c:pt idx="3">
                  <c:v>0.78369905956112851</c:v>
                </c:pt>
                <c:pt idx="4">
                  <c:v>0.78369905956112851</c:v>
                </c:pt>
                <c:pt idx="5">
                  <c:v>0</c:v>
                </c:pt>
                <c:pt idx="6">
                  <c:v>0</c:v>
                </c:pt>
                <c:pt idx="7">
                  <c:v>0.78369905956112851</c:v>
                </c:pt>
                <c:pt idx="8">
                  <c:v>0</c:v>
                </c:pt>
                <c:pt idx="9">
                  <c:v>0.78369905956112851</c:v>
                </c:pt>
                <c:pt idx="10">
                  <c:v>90.125391849529777</c:v>
                </c:pt>
                <c:pt idx="11">
                  <c:v>427.89968652037618</c:v>
                </c:pt>
                <c:pt idx="12">
                  <c:v>920.06269592476485</c:v>
                </c:pt>
                <c:pt idx="13">
                  <c:v>1000</c:v>
                </c:pt>
                <c:pt idx="14">
                  <c:v>380.09404388714734</c:v>
                </c:pt>
                <c:pt idx="15">
                  <c:v>90.125391849529777</c:v>
                </c:pt>
                <c:pt idx="16">
                  <c:v>0.78369905956112851</c:v>
                </c:pt>
                <c:pt idx="17">
                  <c:v>18.808777429467085</c:v>
                </c:pt>
                <c:pt idx="18">
                  <c:v>18.808777429467085</c:v>
                </c:pt>
                <c:pt idx="19">
                  <c:v>0.78369905956112851</c:v>
                </c:pt>
                <c:pt idx="20">
                  <c:v>0.78369905956112851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74B-4F4F-9A4E-6EEB2420B18B}"/>
            </c:ext>
          </c:extLst>
        </c:ser>
        <c:ser>
          <c:idx val="6"/>
          <c:order val="6"/>
          <c:tx>
            <c:strRef>
              <c:f>'SENSOR FUSION'!$Z$2</c:f>
              <c:strCache>
                <c:ptCount val="1"/>
                <c:pt idx="0">
                  <c:v>S7</c:v>
                </c:pt>
              </c:strCache>
            </c:strRef>
          </c:tx>
          <c:spPr>
            <a:ln w="28440">
              <a:solidFill>
                <a:srgbClr val="8EA5CA"/>
              </a:solidFill>
              <a:round/>
            </a:ln>
          </c:spPr>
          <c:marker>
            <c:symbol val="circle"/>
            <c:size val="5"/>
            <c:spPr>
              <a:solidFill>
                <a:srgbClr val="8EA5CA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'SENSOR FUSION'!$S$3:$S$23</c:f>
              <c:numCache>
                <c:formatCode>General</c:formatCode>
                <c:ptCount val="21"/>
                <c:pt idx="0">
                  <c:v>-40</c:v>
                </c:pt>
                <c:pt idx="1">
                  <c:v>-36</c:v>
                </c:pt>
                <c:pt idx="2">
                  <c:v>-32</c:v>
                </c:pt>
                <c:pt idx="3">
                  <c:v>-28</c:v>
                </c:pt>
                <c:pt idx="4">
                  <c:v>-24</c:v>
                </c:pt>
                <c:pt idx="5">
                  <c:v>-20</c:v>
                </c:pt>
                <c:pt idx="6">
                  <c:v>-16</c:v>
                </c:pt>
                <c:pt idx="7">
                  <c:v>-12</c:v>
                </c:pt>
                <c:pt idx="8">
                  <c:v>-8</c:v>
                </c:pt>
                <c:pt idx="9">
                  <c:v>-4</c:v>
                </c:pt>
                <c:pt idx="10">
                  <c:v>0</c:v>
                </c:pt>
                <c:pt idx="11">
                  <c:v>4</c:v>
                </c:pt>
                <c:pt idx="12">
                  <c:v>8</c:v>
                </c:pt>
                <c:pt idx="13">
                  <c:v>12</c:v>
                </c:pt>
                <c:pt idx="14">
                  <c:v>16</c:v>
                </c:pt>
                <c:pt idx="15">
                  <c:v>20</c:v>
                </c:pt>
                <c:pt idx="16">
                  <c:v>24</c:v>
                </c:pt>
                <c:pt idx="17">
                  <c:v>28</c:v>
                </c:pt>
                <c:pt idx="18">
                  <c:v>32</c:v>
                </c:pt>
                <c:pt idx="19">
                  <c:v>36</c:v>
                </c:pt>
                <c:pt idx="20">
                  <c:v>40</c:v>
                </c:pt>
              </c:numCache>
            </c:numRef>
          </c:xVal>
          <c:yVal>
            <c:numRef>
              <c:f>'SENSOR FUSION'!$Z$3:$Z$23</c:f>
              <c:numCache>
                <c:formatCode>0.0</c:formatCode>
                <c:ptCount val="21"/>
                <c:pt idx="0">
                  <c:v>32.832498608792434</c:v>
                </c:pt>
                <c:pt idx="1">
                  <c:v>30.606566499721758</c:v>
                </c:pt>
                <c:pt idx="2">
                  <c:v>35.614913745130771</c:v>
                </c:pt>
                <c:pt idx="3">
                  <c:v>37.840845854201447</c:v>
                </c:pt>
                <c:pt idx="4">
                  <c:v>38.397328881469114</c:v>
                </c:pt>
                <c:pt idx="5">
                  <c:v>37.840845854201447</c:v>
                </c:pt>
                <c:pt idx="6">
                  <c:v>37.840845854201447</c:v>
                </c:pt>
                <c:pt idx="7">
                  <c:v>37.840845854201447</c:v>
                </c:pt>
                <c:pt idx="8">
                  <c:v>37.840845854201447</c:v>
                </c:pt>
                <c:pt idx="9">
                  <c:v>38.397328881469114</c:v>
                </c:pt>
                <c:pt idx="10">
                  <c:v>37.840845854201447</c:v>
                </c:pt>
                <c:pt idx="11">
                  <c:v>25.598219254312742</c:v>
                </c:pt>
                <c:pt idx="12">
                  <c:v>63.439065108514193</c:v>
                </c:pt>
                <c:pt idx="13">
                  <c:v>274.90261547022817</c:v>
                </c:pt>
                <c:pt idx="14">
                  <c:v>1000</c:v>
                </c:pt>
                <c:pt idx="15">
                  <c:v>1000</c:v>
                </c:pt>
                <c:pt idx="16">
                  <c:v>578.74234835837512</c:v>
                </c:pt>
                <c:pt idx="17">
                  <c:v>192.54312743461324</c:v>
                </c:pt>
                <c:pt idx="18">
                  <c:v>0</c:v>
                </c:pt>
                <c:pt idx="19">
                  <c:v>12.799109627156371</c:v>
                </c:pt>
                <c:pt idx="20">
                  <c:v>25.598219254312742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74B-4F4F-9A4E-6EEB2420B18B}"/>
            </c:ext>
          </c:extLst>
        </c:ser>
        <c:ser>
          <c:idx val="7"/>
          <c:order val="7"/>
          <c:tx>
            <c:strRef>
              <c:f>'SENSOR FUSION'!$AA$2</c:f>
              <c:strCache>
                <c:ptCount val="1"/>
                <c:pt idx="0">
                  <c:v>S8</c:v>
                </c:pt>
              </c:strCache>
            </c:strRef>
          </c:tx>
          <c:spPr>
            <a:ln w="28440">
              <a:solidFill>
                <a:srgbClr val="CC8F8E"/>
              </a:solidFill>
              <a:round/>
            </a:ln>
          </c:spPr>
          <c:marker>
            <c:symbol val="circle"/>
            <c:size val="5"/>
            <c:spPr>
              <a:solidFill>
                <a:srgbClr val="CC8F8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'SENSOR FUSION'!$S$3:$S$23</c:f>
              <c:numCache>
                <c:formatCode>General</c:formatCode>
                <c:ptCount val="21"/>
                <c:pt idx="0">
                  <c:v>-40</c:v>
                </c:pt>
                <c:pt idx="1">
                  <c:v>-36</c:v>
                </c:pt>
                <c:pt idx="2">
                  <c:v>-32</c:v>
                </c:pt>
                <c:pt idx="3">
                  <c:v>-28</c:v>
                </c:pt>
                <c:pt idx="4">
                  <c:v>-24</c:v>
                </c:pt>
                <c:pt idx="5">
                  <c:v>-20</c:v>
                </c:pt>
                <c:pt idx="6">
                  <c:v>-16</c:v>
                </c:pt>
                <c:pt idx="7">
                  <c:v>-12</c:v>
                </c:pt>
                <c:pt idx="8">
                  <c:v>-8</c:v>
                </c:pt>
                <c:pt idx="9">
                  <c:v>-4</c:v>
                </c:pt>
                <c:pt idx="10">
                  <c:v>0</c:v>
                </c:pt>
                <c:pt idx="11">
                  <c:v>4</c:v>
                </c:pt>
                <c:pt idx="12">
                  <c:v>8</c:v>
                </c:pt>
                <c:pt idx="13">
                  <c:v>12</c:v>
                </c:pt>
                <c:pt idx="14">
                  <c:v>16</c:v>
                </c:pt>
                <c:pt idx="15">
                  <c:v>20</c:v>
                </c:pt>
                <c:pt idx="16">
                  <c:v>24</c:v>
                </c:pt>
                <c:pt idx="17">
                  <c:v>28</c:v>
                </c:pt>
                <c:pt idx="18">
                  <c:v>32</c:v>
                </c:pt>
                <c:pt idx="19">
                  <c:v>36</c:v>
                </c:pt>
                <c:pt idx="20">
                  <c:v>40</c:v>
                </c:pt>
              </c:numCache>
            </c:numRef>
          </c:xVal>
          <c:yVal>
            <c:numRef>
              <c:f>'SENSOR FUSION'!$AA$3:$AA$23</c:f>
              <c:numCache>
                <c:formatCode>0.0</c:formatCode>
                <c:ptCount val="21"/>
                <c:pt idx="0">
                  <c:v>30.667468430547203</c:v>
                </c:pt>
                <c:pt idx="1">
                  <c:v>30.066145520144318</c:v>
                </c:pt>
                <c:pt idx="2">
                  <c:v>30.066145520144318</c:v>
                </c:pt>
                <c:pt idx="3">
                  <c:v>29.464822609741432</c:v>
                </c:pt>
                <c:pt idx="4">
                  <c:v>30.066145520144318</c:v>
                </c:pt>
                <c:pt idx="5">
                  <c:v>29.464822609741432</c:v>
                </c:pt>
                <c:pt idx="6">
                  <c:v>29.464822609741432</c:v>
                </c:pt>
                <c:pt idx="7">
                  <c:v>29.464822609741432</c:v>
                </c:pt>
                <c:pt idx="8">
                  <c:v>29.464822609741432</c:v>
                </c:pt>
                <c:pt idx="9">
                  <c:v>30.066145520144318</c:v>
                </c:pt>
                <c:pt idx="10">
                  <c:v>29.464822609741432</c:v>
                </c:pt>
                <c:pt idx="11">
                  <c:v>32.471437161755865</c:v>
                </c:pt>
                <c:pt idx="12">
                  <c:v>43.295249549007821</c:v>
                </c:pt>
                <c:pt idx="13">
                  <c:v>30.066145520144318</c:v>
                </c:pt>
                <c:pt idx="14">
                  <c:v>57.125676488274202</c:v>
                </c:pt>
                <c:pt idx="15">
                  <c:v>280.21647624774505</c:v>
                </c:pt>
                <c:pt idx="16">
                  <c:v>1000</c:v>
                </c:pt>
                <c:pt idx="17">
                  <c:v>1000</c:v>
                </c:pt>
                <c:pt idx="18">
                  <c:v>1000</c:v>
                </c:pt>
                <c:pt idx="19">
                  <c:v>365.60432952495489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74B-4F4F-9A4E-6EEB2420B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366781"/>
        <c:axId val="67672509"/>
      </c:scatterChart>
      <c:valAx>
        <c:axId val="49366781"/>
        <c:scaling>
          <c:orientation val="minMax"/>
          <c:max val="50"/>
          <c:min val="-5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672509"/>
        <c:crosses val="autoZero"/>
        <c:crossBetween val="midCat"/>
        <c:majorUnit val="10"/>
      </c:valAx>
      <c:valAx>
        <c:axId val="67672509"/>
        <c:scaling>
          <c:orientation val="minMax"/>
          <c:max val="12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36678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FUSION OUTPUT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'SENSOR FUSION'!$AC$2</c:f>
              <c:strCache>
                <c:ptCount val="1"/>
                <c:pt idx="0">
                  <c:v>(8-4-2-1)/4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'SENSOR FUSION'!$AB$3:$AB$23</c:f>
              <c:numCache>
                <c:formatCode>General</c:formatCode>
                <c:ptCount val="21"/>
                <c:pt idx="0">
                  <c:v>-40</c:v>
                </c:pt>
                <c:pt idx="1">
                  <c:v>-36</c:v>
                </c:pt>
                <c:pt idx="2">
                  <c:v>-32</c:v>
                </c:pt>
                <c:pt idx="3">
                  <c:v>-28</c:v>
                </c:pt>
                <c:pt idx="4">
                  <c:v>-24</c:v>
                </c:pt>
                <c:pt idx="5">
                  <c:v>-20</c:v>
                </c:pt>
                <c:pt idx="6">
                  <c:v>-16</c:v>
                </c:pt>
                <c:pt idx="7">
                  <c:v>-12</c:v>
                </c:pt>
                <c:pt idx="8">
                  <c:v>-8</c:v>
                </c:pt>
                <c:pt idx="9">
                  <c:v>-4</c:v>
                </c:pt>
                <c:pt idx="10">
                  <c:v>0</c:v>
                </c:pt>
                <c:pt idx="11">
                  <c:v>4</c:v>
                </c:pt>
                <c:pt idx="12">
                  <c:v>8</c:v>
                </c:pt>
                <c:pt idx="13">
                  <c:v>12</c:v>
                </c:pt>
                <c:pt idx="14">
                  <c:v>16</c:v>
                </c:pt>
                <c:pt idx="15">
                  <c:v>20</c:v>
                </c:pt>
                <c:pt idx="16">
                  <c:v>24</c:v>
                </c:pt>
                <c:pt idx="17">
                  <c:v>28</c:v>
                </c:pt>
                <c:pt idx="18">
                  <c:v>32</c:v>
                </c:pt>
                <c:pt idx="19">
                  <c:v>36</c:v>
                </c:pt>
                <c:pt idx="20">
                  <c:v>40</c:v>
                </c:pt>
              </c:numCache>
            </c:numRef>
          </c:xVal>
          <c:yVal>
            <c:numRef>
              <c:f>'SENSOR FUSION'!$AC$3:$AC$23</c:f>
              <c:numCache>
                <c:formatCode>0.0</c:formatCode>
                <c:ptCount val="21"/>
                <c:pt idx="0">
                  <c:v>-1925.2879576106729</c:v>
                </c:pt>
                <c:pt idx="1">
                  <c:v>-2058.0026513359398</c:v>
                </c:pt>
                <c:pt idx="2">
                  <c:v>-1912.2199509054328</c:v>
                </c:pt>
                <c:pt idx="3">
                  <c:v>-1160.9953010389559</c:v>
                </c:pt>
                <c:pt idx="4">
                  <c:v>-855.83501921209813</c:v>
                </c:pt>
                <c:pt idx="5">
                  <c:v>-685.92951998080696</c:v>
                </c:pt>
                <c:pt idx="6">
                  <c:v>-564.58651773617964</c:v>
                </c:pt>
                <c:pt idx="7">
                  <c:v>-407.88140523986124</c:v>
                </c:pt>
                <c:pt idx="8">
                  <c:v>-201.57486783520292</c:v>
                </c:pt>
                <c:pt idx="9">
                  <c:v>40.397645909885995</c:v>
                </c:pt>
                <c:pt idx="10">
                  <c:v>290.47319035720761</c:v>
                </c:pt>
                <c:pt idx="11">
                  <c:v>425.20017621586385</c:v>
                </c:pt>
                <c:pt idx="12">
                  <c:v>598.91500435651278</c:v>
                </c:pt>
                <c:pt idx="13">
                  <c:v>757.17287252895926</c:v>
                </c:pt>
                <c:pt idx="14">
                  <c:v>1230.9434034156081</c:v>
                </c:pt>
                <c:pt idx="15">
                  <c:v>1535.8244976295805</c:v>
                </c:pt>
                <c:pt idx="16">
                  <c:v>2509.4630470974812</c:v>
                </c:pt>
                <c:pt idx="17">
                  <c:v>2132.2763653586721</c:v>
                </c:pt>
                <c:pt idx="18">
                  <c:v>1938.5441772819663</c:v>
                </c:pt>
                <c:pt idx="19">
                  <c:v>674.72846741617218</c:v>
                </c:pt>
                <c:pt idx="20">
                  <c:v>-44.870142648673934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9B-3A47-80F3-F6F1027576DA}"/>
            </c:ext>
          </c:extLst>
        </c:ser>
        <c:ser>
          <c:idx val="1"/>
          <c:order val="1"/>
          <c:tx>
            <c:strRef>
              <c:f>'SENSOR FUSION'!$AD$2</c:f>
              <c:strCache>
                <c:ptCount val="1"/>
                <c:pt idx="0">
                  <c:v>(15-14-12-8)/8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circle"/>
            <c:size val="5"/>
            <c:spPr>
              <a:solidFill>
                <a:srgbClr val="BE4B4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'SENSOR FUSION'!$AB$3:$AB$23</c:f>
              <c:numCache>
                <c:formatCode>General</c:formatCode>
                <c:ptCount val="21"/>
                <c:pt idx="0">
                  <c:v>-40</c:v>
                </c:pt>
                <c:pt idx="1">
                  <c:v>-36</c:v>
                </c:pt>
                <c:pt idx="2">
                  <c:v>-32</c:v>
                </c:pt>
                <c:pt idx="3">
                  <c:v>-28</c:v>
                </c:pt>
                <c:pt idx="4">
                  <c:v>-24</c:v>
                </c:pt>
                <c:pt idx="5">
                  <c:v>-20</c:v>
                </c:pt>
                <c:pt idx="6">
                  <c:v>-16</c:v>
                </c:pt>
                <c:pt idx="7">
                  <c:v>-12</c:v>
                </c:pt>
                <c:pt idx="8">
                  <c:v>-8</c:v>
                </c:pt>
                <c:pt idx="9">
                  <c:v>-4</c:v>
                </c:pt>
                <c:pt idx="10">
                  <c:v>0</c:v>
                </c:pt>
                <c:pt idx="11">
                  <c:v>4</c:v>
                </c:pt>
                <c:pt idx="12">
                  <c:v>8</c:v>
                </c:pt>
                <c:pt idx="13">
                  <c:v>12</c:v>
                </c:pt>
                <c:pt idx="14">
                  <c:v>16</c:v>
                </c:pt>
                <c:pt idx="15">
                  <c:v>20</c:v>
                </c:pt>
                <c:pt idx="16">
                  <c:v>24</c:v>
                </c:pt>
                <c:pt idx="17">
                  <c:v>28</c:v>
                </c:pt>
                <c:pt idx="18">
                  <c:v>32</c:v>
                </c:pt>
                <c:pt idx="19">
                  <c:v>36</c:v>
                </c:pt>
                <c:pt idx="20">
                  <c:v>40</c:v>
                </c:pt>
              </c:numCache>
            </c:numRef>
          </c:xVal>
          <c:yVal>
            <c:numRef>
              <c:f>'SENSOR FUSION'!$AD$3:$AD$23</c:f>
              <c:numCache>
                <c:formatCode>0.0</c:formatCode>
                <c:ptCount val="21"/>
                <c:pt idx="0">
                  <c:v>-1813.9227940000508</c:v>
                </c:pt>
                <c:pt idx="1">
                  <c:v>-2045.1963582898629</c:v>
                </c:pt>
                <c:pt idx="2">
                  <c:v>-2296.3192009074619</c:v>
                </c:pt>
                <c:pt idx="3">
                  <c:v>-2001.1422231783342</c:v>
                </c:pt>
                <c:pt idx="4">
                  <c:v>-1785.325141903648</c:v>
                </c:pt>
                <c:pt idx="5">
                  <c:v>-1881.0364136851263</c:v>
                </c:pt>
                <c:pt idx="6">
                  <c:v>-1855.0335709405028</c:v>
                </c:pt>
                <c:pt idx="7">
                  <c:v>-1532.1279754582861</c:v>
                </c:pt>
                <c:pt idx="8">
                  <c:v>-847.67937494365049</c:v>
                </c:pt>
                <c:pt idx="9">
                  <c:v>64.48229817342505</c:v>
                </c:pt>
                <c:pt idx="10">
                  <c:v>1032.059938389637</c:v>
                </c:pt>
                <c:pt idx="11">
                  <c:v>1422.208485599431</c:v>
                </c:pt>
                <c:pt idx="12">
                  <c:v>1715.9070411995526</c:v>
                </c:pt>
                <c:pt idx="13">
                  <c:v>1917.8466339310617</c:v>
                </c:pt>
                <c:pt idx="14">
                  <c:v>2322.0314949458925</c:v>
                </c:pt>
                <c:pt idx="15">
                  <c:v>2323.7505475102412</c:v>
                </c:pt>
                <c:pt idx="16">
                  <c:v>2802.1312249879225</c:v>
                </c:pt>
                <c:pt idx="17">
                  <c:v>2153.320205926198</c:v>
                </c:pt>
                <c:pt idx="18">
                  <c:v>1815.2549885636631</c:v>
                </c:pt>
                <c:pt idx="19">
                  <c:v>622.23867506758017</c:v>
                </c:pt>
                <c:pt idx="20">
                  <c:v>-41.985745296148565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9B-3A47-80F3-F6F102757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23741"/>
        <c:axId val="63989502"/>
      </c:scatterChart>
      <c:valAx>
        <c:axId val="39423741"/>
        <c:scaling>
          <c:orientation val="minMax"/>
          <c:max val="50"/>
          <c:min val="-5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989502"/>
        <c:crosses val="autoZero"/>
        <c:crossBetween val="midCat"/>
        <c:majorUnit val="10"/>
      </c:valAx>
      <c:valAx>
        <c:axId val="63989502"/>
        <c:scaling>
          <c:orientation val="minMax"/>
          <c:max val="2500"/>
          <c:min val="-250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42374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9</xdr:col>
      <xdr:colOff>684720</xdr:colOff>
      <xdr:row>43</xdr:row>
      <xdr:rowOff>1080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26</xdr:row>
      <xdr:rowOff>0</xdr:rowOff>
    </xdr:from>
    <xdr:to>
      <xdr:col>18</xdr:col>
      <xdr:colOff>684720</xdr:colOff>
      <xdr:row>43</xdr:row>
      <xdr:rowOff>1080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19</xdr:col>
      <xdr:colOff>0</xdr:colOff>
      <xdr:row>26</xdr:row>
      <xdr:rowOff>0</xdr:rowOff>
    </xdr:from>
    <xdr:to>
      <xdr:col>28</xdr:col>
      <xdr:colOff>50400</xdr:colOff>
      <xdr:row>43</xdr:row>
      <xdr:rowOff>1080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27</xdr:col>
      <xdr:colOff>0</xdr:colOff>
      <xdr:row>26</xdr:row>
      <xdr:rowOff>0</xdr:rowOff>
    </xdr:from>
    <xdr:to>
      <xdr:col>35</xdr:col>
      <xdr:colOff>93960</xdr:colOff>
      <xdr:row>43</xdr:row>
      <xdr:rowOff>1080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4"/>
  <sheetViews>
    <sheetView tabSelected="1" zoomScale="81" zoomScaleNormal="100" workbookViewId="0">
      <pane ySplit="2" topLeftCell="A3" activePane="bottomLeft" state="frozen"/>
      <selection pane="bottomLeft" activeCell="AK26" sqref="AK26"/>
    </sheetView>
  </sheetViews>
  <sheetFormatPr baseColWidth="10" defaultColWidth="8.6640625" defaultRowHeight="15" x14ac:dyDescent="0.2"/>
  <cols>
    <col min="1" max="1" width="11" customWidth="1"/>
    <col min="2" max="9" width="9" customWidth="1"/>
    <col min="10" max="10" width="11" customWidth="1"/>
    <col min="11" max="18" width="9" customWidth="1"/>
    <col min="19" max="19" width="15" customWidth="1"/>
    <col min="20" max="28" width="9" customWidth="1"/>
    <col min="29" max="29" width="13" customWidth="1"/>
    <col min="30" max="30" width="15" customWidth="1"/>
  </cols>
  <sheetData>
    <row r="1" spans="1:30" ht="16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 t="s">
        <v>1</v>
      </c>
      <c r="K1" s="1"/>
      <c r="L1" s="1"/>
      <c r="M1" s="1"/>
      <c r="N1" s="1"/>
      <c r="O1" s="1"/>
      <c r="P1" s="1"/>
      <c r="Q1" s="1"/>
      <c r="R1" s="1"/>
      <c r="S1" s="1" t="s">
        <v>2</v>
      </c>
      <c r="T1" s="1"/>
      <c r="U1" s="1"/>
      <c r="V1" s="1"/>
      <c r="W1" s="1"/>
      <c r="X1" s="1"/>
      <c r="Y1" s="1"/>
      <c r="Z1" s="1"/>
      <c r="AA1" s="1"/>
      <c r="AB1" s="1" t="s">
        <v>3</v>
      </c>
      <c r="AC1" s="1"/>
      <c r="AD1" s="1"/>
    </row>
    <row r="2" spans="1:30" ht="16" x14ac:dyDescent="0.2">
      <c r="A2" s="2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4" t="s">
        <v>12</v>
      </c>
      <c r="J2" s="2" t="s">
        <v>4</v>
      </c>
      <c r="K2" s="3" t="s">
        <v>5</v>
      </c>
      <c r="L2" s="3" t="s">
        <v>6</v>
      </c>
      <c r="M2" s="3" t="s">
        <v>7</v>
      </c>
      <c r="N2" s="3" t="s">
        <v>8</v>
      </c>
      <c r="O2" s="3" t="s">
        <v>9</v>
      </c>
      <c r="P2" s="3" t="s">
        <v>10</v>
      </c>
      <c r="Q2" s="3" t="s">
        <v>11</v>
      </c>
      <c r="R2" s="4" t="s">
        <v>12</v>
      </c>
      <c r="S2" s="2" t="s">
        <v>4</v>
      </c>
      <c r="T2" s="3" t="s">
        <v>5</v>
      </c>
      <c r="U2" s="3" t="s">
        <v>6</v>
      </c>
      <c r="V2" s="3" t="s">
        <v>7</v>
      </c>
      <c r="W2" s="3" t="s">
        <v>8</v>
      </c>
      <c r="X2" s="3" t="s">
        <v>9</v>
      </c>
      <c r="Y2" s="3" t="s">
        <v>10</v>
      </c>
      <c r="Z2" s="3" t="s">
        <v>11</v>
      </c>
      <c r="AA2" s="4" t="s">
        <v>12</v>
      </c>
      <c r="AB2" s="2" t="s">
        <v>4</v>
      </c>
      <c r="AC2" s="3" t="s">
        <v>13</v>
      </c>
      <c r="AD2" s="4" t="s">
        <v>14</v>
      </c>
    </row>
    <row r="3" spans="1:30" ht="16" x14ac:dyDescent="0.2">
      <c r="A3" s="5">
        <v>-40</v>
      </c>
      <c r="B3" s="6">
        <v>2500</v>
      </c>
      <c r="C3" s="6">
        <v>726</v>
      </c>
      <c r="D3" s="6">
        <v>680</v>
      </c>
      <c r="E3" s="6">
        <v>680</v>
      </c>
      <c r="F3" s="6">
        <v>703</v>
      </c>
      <c r="G3" s="6">
        <v>703</v>
      </c>
      <c r="H3" s="6">
        <v>762</v>
      </c>
      <c r="I3" s="7">
        <v>888</v>
      </c>
      <c r="J3" s="5">
        <f t="shared" ref="J3:J23" si="0">A3</f>
        <v>-40</v>
      </c>
      <c r="K3" s="6">
        <f t="shared" ref="K3:K23" si="1">B3-B$24</f>
        <v>1682</v>
      </c>
      <c r="L3" s="6">
        <f t="shared" ref="L3:L23" si="2">C3-C$24</f>
        <v>5</v>
      </c>
      <c r="M3" s="6">
        <f t="shared" ref="M3:M23" si="3">D3-D$24</f>
        <v>68</v>
      </c>
      <c r="N3" s="6">
        <f t="shared" ref="N3:N23" si="4">E3-E$24</f>
        <v>45</v>
      </c>
      <c r="O3" s="6">
        <f t="shared" ref="O3:O23" si="5">F3-F$24</f>
        <v>59</v>
      </c>
      <c r="P3" s="6">
        <f t="shared" ref="P3:P23" si="6">G3-G$24</f>
        <v>1</v>
      </c>
      <c r="Q3" s="6">
        <f t="shared" ref="Q3:Q23" si="7">H3-H$24</f>
        <v>59</v>
      </c>
      <c r="R3" s="7">
        <f t="shared" ref="R3:R23" si="8">I3-I$24</f>
        <v>51</v>
      </c>
      <c r="S3" s="5">
        <f t="shared" ref="S3:S23" si="9">A3</f>
        <v>-40</v>
      </c>
      <c r="T3" s="6">
        <f t="shared" ref="T3:T23" si="10">IF(K3=0,0,K3*1000/K$24)</f>
        <v>1000</v>
      </c>
      <c r="U3" s="6">
        <f t="shared" ref="U3:U23" si="11">IF(L3=0,0,L3*1000/L$24)</f>
        <v>2.8105677346824058</v>
      </c>
      <c r="V3" s="6">
        <f t="shared" ref="V3:V23" si="12">IF(M3=0,0,M3*1000/M$24)</f>
        <v>36.016949152542374</v>
      </c>
      <c r="W3" s="6">
        <f t="shared" ref="W3:W23" si="13">IF(N3=0,0,N3*1000/N$24)</f>
        <v>38.135593220338983</v>
      </c>
      <c r="X3" s="6">
        <f t="shared" ref="X3:X23" si="14">IF(O3=0,0,O3*1000/O$24)</f>
        <v>42.022792022792025</v>
      </c>
      <c r="Y3" s="6">
        <f t="shared" ref="Y3:Y23" si="15">IF(P3=0,0,P3*1000/P$24)</f>
        <v>0.78369905956112851</v>
      </c>
      <c r="Z3" s="6">
        <f t="shared" ref="Z3:Z23" si="16">IF(Q3=0,0,Q3*1000/Q$24)</f>
        <v>32.832498608792434</v>
      </c>
      <c r="AA3" s="7">
        <f t="shared" ref="AA3:AA23" si="17">IF(R3=0,0,R3*1000/R$24)</f>
        <v>30.667468430547203</v>
      </c>
      <c r="AB3" s="5">
        <f t="shared" ref="AB3:AB23" si="18">A3</f>
        <v>-40</v>
      </c>
      <c r="AC3" s="6">
        <f t="shared" ref="AC3:AC23" si="19">(-8*T3-4*U3-2*V3-1*W3+1*X3+2*Y3+4*Z3+8*AA3)/4</f>
        <v>-1925.2879576106729</v>
      </c>
      <c r="AD3" s="7">
        <f t="shared" ref="AD3:AD23" si="20">(-15*T3-14*U3-12*V3-8*W3+8*X3+12*Y3+14*Z3+15*AA3)/8</f>
        <v>-1813.9227940000508</v>
      </c>
    </row>
    <row r="4" spans="1:30" ht="16" x14ac:dyDescent="0.2">
      <c r="A4" s="5">
        <v>-36</v>
      </c>
      <c r="B4" s="6">
        <v>2500</v>
      </c>
      <c r="C4" s="6">
        <v>956</v>
      </c>
      <c r="D4" s="6">
        <v>680</v>
      </c>
      <c r="E4" s="6">
        <v>680</v>
      </c>
      <c r="F4" s="6">
        <v>703</v>
      </c>
      <c r="G4" s="6">
        <v>703</v>
      </c>
      <c r="H4" s="6">
        <v>758</v>
      </c>
      <c r="I4" s="7">
        <v>887</v>
      </c>
      <c r="J4" s="5">
        <f t="shared" si="0"/>
        <v>-36</v>
      </c>
      <c r="K4" s="6">
        <f t="shared" si="1"/>
        <v>1682</v>
      </c>
      <c r="L4" s="6">
        <f t="shared" si="2"/>
        <v>235</v>
      </c>
      <c r="M4" s="6">
        <f t="shared" si="3"/>
        <v>68</v>
      </c>
      <c r="N4" s="6">
        <f t="shared" si="4"/>
        <v>45</v>
      </c>
      <c r="O4" s="6">
        <f t="shared" si="5"/>
        <v>59</v>
      </c>
      <c r="P4" s="6">
        <f t="shared" si="6"/>
        <v>1</v>
      </c>
      <c r="Q4" s="6">
        <f t="shared" si="7"/>
        <v>55</v>
      </c>
      <c r="R4" s="7">
        <f t="shared" si="8"/>
        <v>50</v>
      </c>
      <c r="S4" s="5">
        <f t="shared" si="9"/>
        <v>-36</v>
      </c>
      <c r="T4" s="6">
        <f t="shared" si="10"/>
        <v>1000</v>
      </c>
      <c r="U4" s="6">
        <f t="shared" si="11"/>
        <v>132.09668353007308</v>
      </c>
      <c r="V4" s="6">
        <f t="shared" si="12"/>
        <v>36.016949152542374</v>
      </c>
      <c r="W4" s="6">
        <f t="shared" si="13"/>
        <v>38.135593220338983</v>
      </c>
      <c r="X4" s="6">
        <f t="shared" si="14"/>
        <v>42.022792022792025</v>
      </c>
      <c r="Y4" s="6">
        <f t="shared" si="15"/>
        <v>0.78369905956112851</v>
      </c>
      <c r="Z4" s="6">
        <f t="shared" si="16"/>
        <v>30.606566499721758</v>
      </c>
      <c r="AA4" s="7">
        <f t="shared" si="17"/>
        <v>30.066145520144318</v>
      </c>
      <c r="AB4" s="5">
        <f t="shared" si="18"/>
        <v>-36</v>
      </c>
      <c r="AC4" s="6">
        <f t="shared" si="19"/>
        <v>-2058.0026513359398</v>
      </c>
      <c r="AD4" s="7">
        <f t="shared" si="20"/>
        <v>-2045.1963582898629</v>
      </c>
    </row>
    <row r="5" spans="1:30" ht="16" x14ac:dyDescent="0.2">
      <c r="A5" s="5">
        <v>-32</v>
      </c>
      <c r="B5" s="6">
        <v>1976</v>
      </c>
      <c r="C5" s="6">
        <v>1814</v>
      </c>
      <c r="D5" s="6">
        <v>680</v>
      </c>
      <c r="E5" s="6">
        <v>680</v>
      </c>
      <c r="F5" s="6">
        <v>703</v>
      </c>
      <c r="G5" s="6">
        <v>703</v>
      </c>
      <c r="H5" s="6">
        <v>767</v>
      </c>
      <c r="I5" s="7">
        <v>887</v>
      </c>
      <c r="J5" s="5">
        <f t="shared" si="0"/>
        <v>-32</v>
      </c>
      <c r="K5" s="6">
        <f t="shared" si="1"/>
        <v>1158</v>
      </c>
      <c r="L5" s="6">
        <f t="shared" si="2"/>
        <v>1093</v>
      </c>
      <c r="M5" s="6">
        <f t="shared" si="3"/>
        <v>68</v>
      </c>
      <c r="N5" s="6">
        <f t="shared" si="4"/>
        <v>45</v>
      </c>
      <c r="O5" s="6">
        <f t="shared" si="5"/>
        <v>59</v>
      </c>
      <c r="P5" s="6">
        <f t="shared" si="6"/>
        <v>1</v>
      </c>
      <c r="Q5" s="6">
        <f t="shared" si="7"/>
        <v>64</v>
      </c>
      <c r="R5" s="7">
        <f t="shared" si="8"/>
        <v>50</v>
      </c>
      <c r="S5" s="5">
        <f t="shared" si="9"/>
        <v>-32</v>
      </c>
      <c r="T5" s="6">
        <f t="shared" si="10"/>
        <v>688.46611177170041</v>
      </c>
      <c r="U5" s="6">
        <f t="shared" si="11"/>
        <v>614.39010680157389</v>
      </c>
      <c r="V5" s="6">
        <f t="shared" si="12"/>
        <v>36.016949152542374</v>
      </c>
      <c r="W5" s="6">
        <f t="shared" si="13"/>
        <v>38.135593220338983</v>
      </c>
      <c r="X5" s="6">
        <f t="shared" si="14"/>
        <v>42.022792022792025</v>
      </c>
      <c r="Y5" s="6">
        <f t="shared" si="15"/>
        <v>0.78369905956112851</v>
      </c>
      <c r="Z5" s="6">
        <f t="shared" si="16"/>
        <v>35.614913745130771</v>
      </c>
      <c r="AA5" s="7">
        <f t="shared" si="17"/>
        <v>30.066145520144318</v>
      </c>
      <c r="AB5" s="5">
        <f t="shared" si="18"/>
        <v>-32</v>
      </c>
      <c r="AC5" s="6">
        <f t="shared" si="19"/>
        <v>-1912.2199509054328</v>
      </c>
      <c r="AD5" s="7">
        <f t="shared" si="20"/>
        <v>-2296.3192009074619</v>
      </c>
    </row>
    <row r="6" spans="1:30" ht="16" x14ac:dyDescent="0.2">
      <c r="A6" s="5">
        <v>-28</v>
      </c>
      <c r="B6" s="6">
        <v>979</v>
      </c>
      <c r="C6" s="6">
        <v>2500</v>
      </c>
      <c r="D6" s="6">
        <v>886</v>
      </c>
      <c r="E6" s="6">
        <v>657</v>
      </c>
      <c r="F6" s="6">
        <v>703</v>
      </c>
      <c r="G6" s="6">
        <v>703</v>
      </c>
      <c r="H6" s="6">
        <v>771</v>
      </c>
      <c r="I6" s="7">
        <v>886</v>
      </c>
      <c r="J6" s="5">
        <f t="shared" si="0"/>
        <v>-28</v>
      </c>
      <c r="K6" s="6">
        <f t="shared" si="1"/>
        <v>161</v>
      </c>
      <c r="L6" s="6">
        <f t="shared" si="2"/>
        <v>1779</v>
      </c>
      <c r="M6" s="6">
        <f t="shared" si="3"/>
        <v>274</v>
      </c>
      <c r="N6" s="6">
        <f t="shared" si="4"/>
        <v>22</v>
      </c>
      <c r="O6" s="6">
        <f t="shared" si="5"/>
        <v>59</v>
      </c>
      <c r="P6" s="6">
        <f t="shared" si="6"/>
        <v>1</v>
      </c>
      <c r="Q6" s="6">
        <f t="shared" si="7"/>
        <v>68</v>
      </c>
      <c r="R6" s="7">
        <f t="shared" si="8"/>
        <v>49</v>
      </c>
      <c r="S6" s="5">
        <f t="shared" si="9"/>
        <v>-28</v>
      </c>
      <c r="T6" s="6">
        <f t="shared" si="10"/>
        <v>95.719381688466115</v>
      </c>
      <c r="U6" s="6">
        <f t="shared" si="11"/>
        <v>1000</v>
      </c>
      <c r="V6" s="6">
        <f t="shared" si="12"/>
        <v>145.12711864406779</v>
      </c>
      <c r="W6" s="6">
        <f t="shared" si="13"/>
        <v>18.64406779661017</v>
      </c>
      <c r="X6" s="6">
        <f t="shared" si="14"/>
        <v>42.022792022792025</v>
      </c>
      <c r="Y6" s="6">
        <f t="shared" si="15"/>
        <v>0.78369905956112851</v>
      </c>
      <c r="Z6" s="6">
        <f t="shared" si="16"/>
        <v>37.840845854201447</v>
      </c>
      <c r="AA6" s="7">
        <f t="shared" si="17"/>
        <v>29.464822609741432</v>
      </c>
      <c r="AB6" s="5">
        <f t="shared" si="18"/>
        <v>-28</v>
      </c>
      <c r="AC6" s="6">
        <f t="shared" si="19"/>
        <v>-1160.9953010389559</v>
      </c>
      <c r="AD6" s="7">
        <f t="shared" si="20"/>
        <v>-2001.1422231783342</v>
      </c>
    </row>
    <row r="7" spans="1:30" ht="16" x14ac:dyDescent="0.2">
      <c r="A7" s="5">
        <v>-24</v>
      </c>
      <c r="B7" s="6">
        <v>818</v>
      </c>
      <c r="C7" s="6">
        <v>2071</v>
      </c>
      <c r="D7" s="6">
        <v>1373</v>
      </c>
      <c r="E7" s="6">
        <v>658</v>
      </c>
      <c r="F7" s="6">
        <v>703</v>
      </c>
      <c r="G7" s="6">
        <v>703</v>
      </c>
      <c r="H7" s="6">
        <v>772</v>
      </c>
      <c r="I7" s="7">
        <v>887</v>
      </c>
      <c r="J7" s="5">
        <f t="shared" si="0"/>
        <v>-24</v>
      </c>
      <c r="K7" s="6">
        <f t="shared" si="1"/>
        <v>0</v>
      </c>
      <c r="L7" s="6">
        <f t="shared" si="2"/>
        <v>1350</v>
      </c>
      <c r="M7" s="6">
        <f t="shared" si="3"/>
        <v>761</v>
      </c>
      <c r="N7" s="6">
        <f t="shared" si="4"/>
        <v>23</v>
      </c>
      <c r="O7" s="6">
        <f t="shared" si="5"/>
        <v>59</v>
      </c>
      <c r="P7" s="6">
        <f t="shared" si="6"/>
        <v>1</v>
      </c>
      <c r="Q7" s="6">
        <f t="shared" si="7"/>
        <v>69</v>
      </c>
      <c r="R7" s="7">
        <f t="shared" si="8"/>
        <v>50</v>
      </c>
      <c r="S7" s="5">
        <f t="shared" si="9"/>
        <v>-24</v>
      </c>
      <c r="T7" s="6">
        <f t="shared" si="10"/>
        <v>0</v>
      </c>
      <c r="U7" s="6">
        <f t="shared" si="11"/>
        <v>758.85328836424958</v>
      </c>
      <c r="V7" s="6">
        <f t="shared" si="12"/>
        <v>403.07203389830511</v>
      </c>
      <c r="W7" s="6">
        <f t="shared" si="13"/>
        <v>19.491525423728813</v>
      </c>
      <c r="X7" s="6">
        <f t="shared" si="14"/>
        <v>42.022792022792025</v>
      </c>
      <c r="Y7" s="6">
        <f t="shared" si="15"/>
        <v>0.78369905956112851</v>
      </c>
      <c r="Z7" s="6">
        <f t="shared" si="16"/>
        <v>38.397328881469114</v>
      </c>
      <c r="AA7" s="7">
        <f t="shared" si="17"/>
        <v>30.066145520144318</v>
      </c>
      <c r="AB7" s="5">
        <f t="shared" si="18"/>
        <v>-24</v>
      </c>
      <c r="AC7" s="6">
        <f t="shared" si="19"/>
        <v>-855.83501921209813</v>
      </c>
      <c r="AD7" s="7">
        <f t="shared" si="20"/>
        <v>-1785.325141903648</v>
      </c>
    </row>
    <row r="8" spans="1:30" ht="16" x14ac:dyDescent="0.2">
      <c r="A8" s="5">
        <v>-20</v>
      </c>
      <c r="B8" s="6">
        <v>853</v>
      </c>
      <c r="C8" s="6">
        <v>1117</v>
      </c>
      <c r="D8" s="6">
        <v>2500</v>
      </c>
      <c r="E8" s="6">
        <v>771</v>
      </c>
      <c r="F8" s="6">
        <v>702</v>
      </c>
      <c r="G8" s="6">
        <v>702</v>
      </c>
      <c r="H8" s="6">
        <v>771</v>
      </c>
      <c r="I8" s="7">
        <v>886</v>
      </c>
      <c r="J8" s="5">
        <f t="shared" si="0"/>
        <v>-20</v>
      </c>
      <c r="K8" s="6">
        <f t="shared" si="1"/>
        <v>35</v>
      </c>
      <c r="L8" s="6">
        <f t="shared" si="2"/>
        <v>396</v>
      </c>
      <c r="M8" s="6">
        <f t="shared" si="3"/>
        <v>1888</v>
      </c>
      <c r="N8" s="6">
        <f t="shared" si="4"/>
        <v>136</v>
      </c>
      <c r="O8" s="6">
        <f t="shared" si="5"/>
        <v>58</v>
      </c>
      <c r="P8" s="6">
        <f t="shared" si="6"/>
        <v>0</v>
      </c>
      <c r="Q8" s="6">
        <f t="shared" si="7"/>
        <v>68</v>
      </c>
      <c r="R8" s="7">
        <f t="shared" si="8"/>
        <v>49</v>
      </c>
      <c r="S8" s="5">
        <f t="shared" si="9"/>
        <v>-20</v>
      </c>
      <c r="T8" s="6">
        <f t="shared" si="10"/>
        <v>20.808561236623067</v>
      </c>
      <c r="U8" s="6">
        <f t="shared" si="11"/>
        <v>222.59696458684655</v>
      </c>
      <c r="V8" s="6">
        <f t="shared" si="12"/>
        <v>1000</v>
      </c>
      <c r="W8" s="6">
        <f t="shared" si="13"/>
        <v>115.2542372881356</v>
      </c>
      <c r="X8" s="6">
        <f t="shared" si="14"/>
        <v>41.310541310541311</v>
      </c>
      <c r="Y8" s="6">
        <f t="shared" si="15"/>
        <v>0</v>
      </c>
      <c r="Z8" s="6">
        <f t="shared" si="16"/>
        <v>37.840845854201447</v>
      </c>
      <c r="AA8" s="7">
        <f t="shared" si="17"/>
        <v>29.464822609741432</v>
      </c>
      <c r="AB8" s="5">
        <f t="shared" si="18"/>
        <v>-20</v>
      </c>
      <c r="AC8" s="6">
        <f t="shared" si="19"/>
        <v>-685.92951998080696</v>
      </c>
      <c r="AD8" s="7">
        <f t="shared" si="20"/>
        <v>-1881.0364136851263</v>
      </c>
    </row>
    <row r="9" spans="1:30" ht="16" x14ac:dyDescent="0.2">
      <c r="A9" s="5">
        <v>-16</v>
      </c>
      <c r="B9" s="6">
        <v>863</v>
      </c>
      <c r="C9" s="6">
        <v>725</v>
      </c>
      <c r="D9" s="6">
        <v>2500</v>
      </c>
      <c r="E9" s="6">
        <v>1141</v>
      </c>
      <c r="F9" s="6">
        <v>653</v>
      </c>
      <c r="G9" s="6">
        <v>702</v>
      </c>
      <c r="H9" s="6">
        <v>771</v>
      </c>
      <c r="I9" s="7">
        <v>886</v>
      </c>
      <c r="J9" s="5">
        <f t="shared" si="0"/>
        <v>-16</v>
      </c>
      <c r="K9" s="6">
        <f t="shared" si="1"/>
        <v>45</v>
      </c>
      <c r="L9" s="6">
        <f t="shared" si="2"/>
        <v>4</v>
      </c>
      <c r="M9" s="6">
        <f t="shared" si="3"/>
        <v>1888</v>
      </c>
      <c r="N9" s="6">
        <f t="shared" si="4"/>
        <v>506</v>
      </c>
      <c r="O9" s="6">
        <f t="shared" si="5"/>
        <v>9</v>
      </c>
      <c r="P9" s="6">
        <f t="shared" si="6"/>
        <v>0</v>
      </c>
      <c r="Q9" s="6">
        <f t="shared" si="7"/>
        <v>68</v>
      </c>
      <c r="R9" s="7">
        <f t="shared" si="8"/>
        <v>49</v>
      </c>
      <c r="S9" s="5">
        <f t="shared" si="9"/>
        <v>-16</v>
      </c>
      <c r="T9" s="6">
        <f t="shared" si="10"/>
        <v>26.753864447086801</v>
      </c>
      <c r="U9" s="6">
        <f t="shared" si="11"/>
        <v>2.2484541877459248</v>
      </c>
      <c r="V9" s="6">
        <f t="shared" si="12"/>
        <v>1000</v>
      </c>
      <c r="W9" s="6">
        <f t="shared" si="13"/>
        <v>428.81355932203388</v>
      </c>
      <c r="X9" s="6">
        <f t="shared" si="14"/>
        <v>6.4102564102564106</v>
      </c>
      <c r="Y9" s="6">
        <f t="shared" si="15"/>
        <v>0</v>
      </c>
      <c r="Z9" s="6">
        <f t="shared" si="16"/>
        <v>37.840845854201447</v>
      </c>
      <c r="AA9" s="7">
        <f t="shared" si="17"/>
        <v>29.464822609741432</v>
      </c>
      <c r="AB9" s="5">
        <f t="shared" si="18"/>
        <v>-16</v>
      </c>
      <c r="AC9" s="6">
        <f t="shared" si="19"/>
        <v>-564.58651773617964</v>
      </c>
      <c r="AD9" s="7">
        <f t="shared" si="20"/>
        <v>-1855.0335709405028</v>
      </c>
    </row>
    <row r="10" spans="1:30" ht="16" x14ac:dyDescent="0.2">
      <c r="A10" s="5">
        <v>-12</v>
      </c>
      <c r="B10" s="6">
        <v>863</v>
      </c>
      <c r="C10" s="6">
        <v>721</v>
      </c>
      <c r="D10" s="6">
        <v>1373</v>
      </c>
      <c r="E10" s="6">
        <v>1815</v>
      </c>
      <c r="F10" s="6">
        <v>644</v>
      </c>
      <c r="G10" s="6">
        <v>703</v>
      </c>
      <c r="H10" s="6">
        <v>771</v>
      </c>
      <c r="I10" s="7">
        <v>886</v>
      </c>
      <c r="J10" s="5">
        <f t="shared" si="0"/>
        <v>-12</v>
      </c>
      <c r="K10" s="6">
        <f t="shared" si="1"/>
        <v>45</v>
      </c>
      <c r="L10" s="6">
        <f t="shared" si="2"/>
        <v>0</v>
      </c>
      <c r="M10" s="6">
        <f t="shared" si="3"/>
        <v>761</v>
      </c>
      <c r="N10" s="6">
        <f t="shared" si="4"/>
        <v>1180</v>
      </c>
      <c r="O10" s="6">
        <f t="shared" si="5"/>
        <v>0</v>
      </c>
      <c r="P10" s="6">
        <f t="shared" si="6"/>
        <v>1</v>
      </c>
      <c r="Q10" s="6">
        <f t="shared" si="7"/>
        <v>68</v>
      </c>
      <c r="R10" s="7">
        <f t="shared" si="8"/>
        <v>49</v>
      </c>
      <c r="S10" s="5">
        <f t="shared" si="9"/>
        <v>-12</v>
      </c>
      <c r="T10" s="6">
        <f t="shared" si="10"/>
        <v>26.753864447086801</v>
      </c>
      <c r="U10" s="6">
        <f t="shared" si="11"/>
        <v>0</v>
      </c>
      <c r="V10" s="6">
        <f t="shared" si="12"/>
        <v>403.07203389830511</v>
      </c>
      <c r="W10" s="6">
        <f t="shared" si="13"/>
        <v>1000</v>
      </c>
      <c r="X10" s="6">
        <f t="shared" si="14"/>
        <v>0</v>
      </c>
      <c r="Y10" s="6">
        <f t="shared" si="15"/>
        <v>0.78369905956112851</v>
      </c>
      <c r="Z10" s="6">
        <f t="shared" si="16"/>
        <v>37.840845854201447</v>
      </c>
      <c r="AA10" s="7">
        <f t="shared" si="17"/>
        <v>29.464822609741432</v>
      </c>
      <c r="AB10" s="5">
        <f t="shared" si="18"/>
        <v>-12</v>
      </c>
      <c r="AC10" s="6">
        <f t="shared" si="19"/>
        <v>-407.88140523986124</v>
      </c>
      <c r="AD10" s="7">
        <f t="shared" si="20"/>
        <v>-1532.1279754582861</v>
      </c>
    </row>
    <row r="11" spans="1:30" ht="16" x14ac:dyDescent="0.2">
      <c r="A11" s="5">
        <v>-8</v>
      </c>
      <c r="B11" s="6">
        <v>863</v>
      </c>
      <c r="C11" s="6">
        <v>748</v>
      </c>
      <c r="D11" s="6">
        <v>711</v>
      </c>
      <c r="E11" s="6">
        <v>1802</v>
      </c>
      <c r="F11" s="6">
        <v>890</v>
      </c>
      <c r="G11" s="6">
        <v>702</v>
      </c>
      <c r="H11" s="6">
        <v>771</v>
      </c>
      <c r="I11" s="7">
        <v>886</v>
      </c>
      <c r="J11" s="5">
        <f t="shared" si="0"/>
        <v>-8</v>
      </c>
      <c r="K11" s="6">
        <f t="shared" si="1"/>
        <v>45</v>
      </c>
      <c r="L11" s="6">
        <f t="shared" si="2"/>
        <v>27</v>
      </c>
      <c r="M11" s="6">
        <f t="shared" si="3"/>
        <v>99</v>
      </c>
      <c r="N11" s="6">
        <f t="shared" si="4"/>
        <v>1167</v>
      </c>
      <c r="O11" s="6">
        <f t="shared" si="5"/>
        <v>246</v>
      </c>
      <c r="P11" s="6">
        <f t="shared" si="6"/>
        <v>0</v>
      </c>
      <c r="Q11" s="6">
        <f t="shared" si="7"/>
        <v>68</v>
      </c>
      <c r="R11" s="7">
        <f t="shared" si="8"/>
        <v>49</v>
      </c>
      <c r="S11" s="5">
        <f t="shared" si="9"/>
        <v>-8</v>
      </c>
      <c r="T11" s="6">
        <f t="shared" si="10"/>
        <v>26.753864447086801</v>
      </c>
      <c r="U11" s="6">
        <f t="shared" si="11"/>
        <v>15.177065767284992</v>
      </c>
      <c r="V11" s="6">
        <f t="shared" si="12"/>
        <v>52.436440677966104</v>
      </c>
      <c r="W11" s="6">
        <f t="shared" si="13"/>
        <v>988.98305084745766</v>
      </c>
      <c r="X11" s="6">
        <f t="shared" si="14"/>
        <v>175.2136752136752</v>
      </c>
      <c r="Y11" s="6">
        <f t="shared" si="15"/>
        <v>0</v>
      </c>
      <c r="Z11" s="6">
        <f t="shared" si="16"/>
        <v>37.840845854201447</v>
      </c>
      <c r="AA11" s="7">
        <f t="shared" si="17"/>
        <v>29.464822609741432</v>
      </c>
      <c r="AB11" s="5">
        <f t="shared" si="18"/>
        <v>-8</v>
      </c>
      <c r="AC11" s="6">
        <f t="shared" si="19"/>
        <v>-201.57486783520292</v>
      </c>
      <c r="AD11" s="7">
        <f t="shared" si="20"/>
        <v>-847.67937494365049</v>
      </c>
    </row>
    <row r="12" spans="1:30" ht="16" x14ac:dyDescent="0.2">
      <c r="A12" s="5">
        <v>-4</v>
      </c>
      <c r="B12" s="6">
        <v>864</v>
      </c>
      <c r="C12" s="6">
        <v>726</v>
      </c>
      <c r="D12" s="6">
        <v>612</v>
      </c>
      <c r="E12" s="6">
        <v>1234</v>
      </c>
      <c r="F12" s="6">
        <v>1351</v>
      </c>
      <c r="G12" s="6">
        <v>703</v>
      </c>
      <c r="H12" s="6">
        <v>772</v>
      </c>
      <c r="I12" s="7">
        <v>887</v>
      </c>
      <c r="J12" s="5">
        <f t="shared" si="0"/>
        <v>-4</v>
      </c>
      <c r="K12" s="6">
        <f t="shared" si="1"/>
        <v>46</v>
      </c>
      <c r="L12" s="6">
        <f t="shared" si="2"/>
        <v>5</v>
      </c>
      <c r="M12" s="6">
        <f t="shared" si="3"/>
        <v>0</v>
      </c>
      <c r="N12" s="6">
        <f t="shared" si="4"/>
        <v>599</v>
      </c>
      <c r="O12" s="6">
        <f t="shared" si="5"/>
        <v>707</v>
      </c>
      <c r="P12" s="6">
        <f t="shared" si="6"/>
        <v>1</v>
      </c>
      <c r="Q12" s="6">
        <f t="shared" si="7"/>
        <v>69</v>
      </c>
      <c r="R12" s="7">
        <f t="shared" si="8"/>
        <v>50</v>
      </c>
      <c r="S12" s="5">
        <f t="shared" si="9"/>
        <v>-4</v>
      </c>
      <c r="T12" s="6">
        <f t="shared" si="10"/>
        <v>27.348394768133176</v>
      </c>
      <c r="U12" s="6">
        <f t="shared" si="11"/>
        <v>2.8105677346824058</v>
      </c>
      <c r="V12" s="6">
        <f t="shared" si="12"/>
        <v>0</v>
      </c>
      <c r="W12" s="6">
        <f t="shared" si="13"/>
        <v>507.62711864406782</v>
      </c>
      <c r="X12" s="6">
        <f t="shared" si="14"/>
        <v>503.56125356125358</v>
      </c>
      <c r="Y12" s="6">
        <f t="shared" si="15"/>
        <v>0.78369905956112851</v>
      </c>
      <c r="Z12" s="6">
        <f t="shared" si="16"/>
        <v>38.397328881469114</v>
      </c>
      <c r="AA12" s="7">
        <f t="shared" si="17"/>
        <v>30.066145520144318</v>
      </c>
      <c r="AB12" s="5">
        <f t="shared" si="18"/>
        <v>-4</v>
      </c>
      <c r="AC12" s="6">
        <f t="shared" si="19"/>
        <v>40.397645909885995</v>
      </c>
      <c r="AD12" s="7">
        <f t="shared" si="20"/>
        <v>64.48229817342505</v>
      </c>
    </row>
    <row r="13" spans="1:30" ht="16" x14ac:dyDescent="0.2">
      <c r="A13" s="5">
        <v>0</v>
      </c>
      <c r="B13" s="6">
        <v>863</v>
      </c>
      <c r="C13" s="6">
        <v>725</v>
      </c>
      <c r="D13" s="6">
        <v>657</v>
      </c>
      <c r="E13" s="6">
        <v>794</v>
      </c>
      <c r="F13" s="6">
        <v>2048</v>
      </c>
      <c r="G13" s="6">
        <v>817</v>
      </c>
      <c r="H13" s="6">
        <v>771</v>
      </c>
      <c r="I13" s="7">
        <v>886</v>
      </c>
      <c r="J13" s="5">
        <f t="shared" si="0"/>
        <v>0</v>
      </c>
      <c r="K13" s="6">
        <f t="shared" si="1"/>
        <v>45</v>
      </c>
      <c r="L13" s="6">
        <f t="shared" si="2"/>
        <v>4</v>
      </c>
      <c r="M13" s="6">
        <f t="shared" si="3"/>
        <v>45</v>
      </c>
      <c r="N13" s="6">
        <f t="shared" si="4"/>
        <v>159</v>
      </c>
      <c r="O13" s="6">
        <f t="shared" si="5"/>
        <v>1404</v>
      </c>
      <c r="P13" s="6">
        <f t="shared" si="6"/>
        <v>115</v>
      </c>
      <c r="Q13" s="6">
        <f t="shared" si="7"/>
        <v>68</v>
      </c>
      <c r="R13" s="7">
        <f t="shared" si="8"/>
        <v>49</v>
      </c>
      <c r="S13" s="5">
        <f t="shared" si="9"/>
        <v>0</v>
      </c>
      <c r="T13" s="6">
        <f t="shared" si="10"/>
        <v>26.753864447086801</v>
      </c>
      <c r="U13" s="6">
        <f t="shared" si="11"/>
        <v>2.2484541877459248</v>
      </c>
      <c r="V13" s="6">
        <f t="shared" si="12"/>
        <v>23.834745762711865</v>
      </c>
      <c r="W13" s="6">
        <f t="shared" si="13"/>
        <v>134.74576271186442</v>
      </c>
      <c r="X13" s="6">
        <f t="shared" si="14"/>
        <v>1000</v>
      </c>
      <c r="Y13" s="6">
        <f t="shared" si="15"/>
        <v>90.125391849529777</v>
      </c>
      <c r="Z13" s="6">
        <f t="shared" si="16"/>
        <v>37.840845854201447</v>
      </c>
      <c r="AA13" s="7">
        <f t="shared" si="17"/>
        <v>29.464822609741432</v>
      </c>
      <c r="AB13" s="5">
        <f t="shared" si="18"/>
        <v>0</v>
      </c>
      <c r="AC13" s="6">
        <f t="shared" si="19"/>
        <v>290.47319035720761</v>
      </c>
      <c r="AD13" s="7">
        <f t="shared" si="20"/>
        <v>1032.059938389637</v>
      </c>
    </row>
    <row r="14" spans="1:30" ht="16" x14ac:dyDescent="0.2">
      <c r="A14" s="5">
        <v>4</v>
      </c>
      <c r="B14" s="6">
        <v>864</v>
      </c>
      <c r="C14" s="6">
        <v>726</v>
      </c>
      <c r="D14" s="6">
        <v>680</v>
      </c>
      <c r="E14" s="6">
        <v>635</v>
      </c>
      <c r="F14" s="6">
        <v>1746</v>
      </c>
      <c r="G14" s="6">
        <v>1248</v>
      </c>
      <c r="H14" s="6">
        <v>749</v>
      </c>
      <c r="I14" s="7">
        <v>891</v>
      </c>
      <c r="J14" s="5">
        <f t="shared" si="0"/>
        <v>4</v>
      </c>
      <c r="K14" s="6">
        <f t="shared" si="1"/>
        <v>46</v>
      </c>
      <c r="L14" s="6">
        <f t="shared" si="2"/>
        <v>5</v>
      </c>
      <c r="M14" s="6">
        <f t="shared" si="3"/>
        <v>68</v>
      </c>
      <c r="N14" s="6">
        <f t="shared" si="4"/>
        <v>0</v>
      </c>
      <c r="O14" s="6">
        <f t="shared" si="5"/>
        <v>1102</v>
      </c>
      <c r="P14" s="6">
        <f t="shared" si="6"/>
        <v>546</v>
      </c>
      <c r="Q14" s="6">
        <f t="shared" si="7"/>
        <v>46</v>
      </c>
      <c r="R14" s="7">
        <f t="shared" si="8"/>
        <v>54</v>
      </c>
      <c r="S14" s="5">
        <f t="shared" si="9"/>
        <v>4</v>
      </c>
      <c r="T14" s="6">
        <f t="shared" si="10"/>
        <v>27.348394768133176</v>
      </c>
      <c r="U14" s="6">
        <f t="shared" si="11"/>
        <v>2.8105677346824058</v>
      </c>
      <c r="V14" s="6">
        <f t="shared" si="12"/>
        <v>36.016949152542374</v>
      </c>
      <c r="W14" s="6">
        <f t="shared" si="13"/>
        <v>0</v>
      </c>
      <c r="X14" s="6">
        <f t="shared" si="14"/>
        <v>784.90028490028487</v>
      </c>
      <c r="Y14" s="6">
        <f t="shared" si="15"/>
        <v>427.89968652037618</v>
      </c>
      <c r="Z14" s="6">
        <f t="shared" si="16"/>
        <v>25.598219254312742</v>
      </c>
      <c r="AA14" s="7">
        <f t="shared" si="17"/>
        <v>32.471437161755865</v>
      </c>
      <c r="AB14" s="5">
        <f t="shared" si="18"/>
        <v>4</v>
      </c>
      <c r="AC14" s="6">
        <f t="shared" si="19"/>
        <v>425.20017621586385</v>
      </c>
      <c r="AD14" s="7">
        <f t="shared" si="20"/>
        <v>1422.208485599431</v>
      </c>
    </row>
    <row r="15" spans="1:30" ht="16" x14ac:dyDescent="0.2">
      <c r="A15" s="5">
        <v>8</v>
      </c>
      <c r="B15" s="6">
        <v>863</v>
      </c>
      <c r="C15" s="6">
        <v>726</v>
      </c>
      <c r="D15" s="6">
        <v>680</v>
      </c>
      <c r="E15" s="6">
        <v>657</v>
      </c>
      <c r="F15" s="6">
        <v>1025</v>
      </c>
      <c r="G15" s="6">
        <v>1876</v>
      </c>
      <c r="H15" s="6">
        <v>817</v>
      </c>
      <c r="I15" s="7">
        <v>909</v>
      </c>
      <c r="J15" s="5">
        <f t="shared" si="0"/>
        <v>8</v>
      </c>
      <c r="K15" s="6">
        <f t="shared" si="1"/>
        <v>45</v>
      </c>
      <c r="L15" s="6">
        <f t="shared" si="2"/>
        <v>5</v>
      </c>
      <c r="M15" s="6">
        <f t="shared" si="3"/>
        <v>68</v>
      </c>
      <c r="N15" s="6">
        <f t="shared" si="4"/>
        <v>22</v>
      </c>
      <c r="O15" s="6">
        <f t="shared" si="5"/>
        <v>381</v>
      </c>
      <c r="P15" s="6">
        <f t="shared" si="6"/>
        <v>1174</v>
      </c>
      <c r="Q15" s="6">
        <f t="shared" si="7"/>
        <v>114</v>
      </c>
      <c r="R15" s="7">
        <f t="shared" si="8"/>
        <v>72</v>
      </c>
      <c r="S15" s="5">
        <f t="shared" si="9"/>
        <v>8</v>
      </c>
      <c r="T15" s="6">
        <f t="shared" si="10"/>
        <v>26.753864447086801</v>
      </c>
      <c r="U15" s="6">
        <f t="shared" si="11"/>
        <v>2.8105677346824058</v>
      </c>
      <c r="V15" s="6">
        <f t="shared" si="12"/>
        <v>36.016949152542374</v>
      </c>
      <c r="W15" s="6">
        <f t="shared" si="13"/>
        <v>18.64406779661017</v>
      </c>
      <c r="X15" s="6">
        <f t="shared" si="14"/>
        <v>271.36752136752136</v>
      </c>
      <c r="Y15" s="6">
        <f t="shared" si="15"/>
        <v>920.06269592476485</v>
      </c>
      <c r="Z15" s="6">
        <f t="shared" si="16"/>
        <v>63.439065108514193</v>
      </c>
      <c r="AA15" s="7">
        <f t="shared" si="17"/>
        <v>43.295249549007821</v>
      </c>
      <c r="AB15" s="5">
        <f t="shared" si="18"/>
        <v>8</v>
      </c>
      <c r="AC15" s="6">
        <f t="shared" si="19"/>
        <v>598.91500435651278</v>
      </c>
      <c r="AD15" s="7">
        <f t="shared" si="20"/>
        <v>1715.9070411995526</v>
      </c>
    </row>
    <row r="16" spans="1:30" ht="16" x14ac:dyDescent="0.2">
      <c r="A16" s="5">
        <v>12</v>
      </c>
      <c r="B16" s="6">
        <v>864</v>
      </c>
      <c r="C16" s="6">
        <v>726</v>
      </c>
      <c r="D16" s="6">
        <v>680</v>
      </c>
      <c r="E16" s="6">
        <v>657</v>
      </c>
      <c r="F16" s="6">
        <v>657</v>
      </c>
      <c r="G16" s="6">
        <v>1978</v>
      </c>
      <c r="H16" s="6">
        <v>1197</v>
      </c>
      <c r="I16" s="7">
        <v>887</v>
      </c>
      <c r="J16" s="5">
        <f t="shared" si="0"/>
        <v>12</v>
      </c>
      <c r="K16" s="6">
        <f t="shared" si="1"/>
        <v>46</v>
      </c>
      <c r="L16" s="6">
        <f t="shared" si="2"/>
        <v>5</v>
      </c>
      <c r="M16" s="6">
        <f t="shared" si="3"/>
        <v>68</v>
      </c>
      <c r="N16" s="6">
        <f t="shared" si="4"/>
        <v>22</v>
      </c>
      <c r="O16" s="6">
        <f t="shared" si="5"/>
        <v>13</v>
      </c>
      <c r="P16" s="6">
        <f t="shared" si="6"/>
        <v>1276</v>
      </c>
      <c r="Q16" s="6">
        <f t="shared" si="7"/>
        <v>494</v>
      </c>
      <c r="R16" s="7">
        <f t="shared" si="8"/>
        <v>50</v>
      </c>
      <c r="S16" s="5">
        <f t="shared" si="9"/>
        <v>12</v>
      </c>
      <c r="T16" s="6">
        <f t="shared" si="10"/>
        <v>27.348394768133176</v>
      </c>
      <c r="U16" s="6">
        <f t="shared" si="11"/>
        <v>2.8105677346824058</v>
      </c>
      <c r="V16" s="6">
        <f t="shared" si="12"/>
        <v>36.016949152542374</v>
      </c>
      <c r="W16" s="6">
        <f t="shared" si="13"/>
        <v>18.64406779661017</v>
      </c>
      <c r="X16" s="6">
        <f t="shared" si="14"/>
        <v>9.2592592592592595</v>
      </c>
      <c r="Y16" s="6">
        <f t="shared" si="15"/>
        <v>1000</v>
      </c>
      <c r="Z16" s="6">
        <f t="shared" si="16"/>
        <v>274.90261547022817</v>
      </c>
      <c r="AA16" s="7">
        <f t="shared" si="17"/>
        <v>30.066145520144318</v>
      </c>
      <c r="AB16" s="5">
        <f t="shared" si="18"/>
        <v>12</v>
      </c>
      <c r="AC16" s="6">
        <f t="shared" si="19"/>
        <v>757.17287252895926</v>
      </c>
      <c r="AD16" s="7">
        <f t="shared" si="20"/>
        <v>1917.8466339310617</v>
      </c>
    </row>
    <row r="17" spans="1:30" ht="16" x14ac:dyDescent="0.2">
      <c r="A17" s="5">
        <v>16</v>
      </c>
      <c r="B17" s="6">
        <v>863</v>
      </c>
      <c r="C17" s="6">
        <v>726</v>
      </c>
      <c r="D17" s="6">
        <v>680</v>
      </c>
      <c r="E17" s="6">
        <v>680</v>
      </c>
      <c r="F17" s="6">
        <v>703</v>
      </c>
      <c r="G17" s="6">
        <v>1187</v>
      </c>
      <c r="H17" s="6">
        <v>2500</v>
      </c>
      <c r="I17" s="7">
        <v>932</v>
      </c>
      <c r="J17" s="5">
        <f t="shared" si="0"/>
        <v>16</v>
      </c>
      <c r="K17" s="6">
        <f t="shared" si="1"/>
        <v>45</v>
      </c>
      <c r="L17" s="6">
        <f t="shared" si="2"/>
        <v>5</v>
      </c>
      <c r="M17" s="6">
        <f t="shared" si="3"/>
        <v>68</v>
      </c>
      <c r="N17" s="6">
        <f t="shared" si="4"/>
        <v>45</v>
      </c>
      <c r="O17" s="6">
        <f t="shared" si="5"/>
        <v>59</v>
      </c>
      <c r="P17" s="6">
        <f t="shared" si="6"/>
        <v>485</v>
      </c>
      <c r="Q17" s="6">
        <f t="shared" si="7"/>
        <v>1797</v>
      </c>
      <c r="R17" s="7">
        <f t="shared" si="8"/>
        <v>95</v>
      </c>
      <c r="S17" s="5">
        <f t="shared" si="9"/>
        <v>16</v>
      </c>
      <c r="T17" s="6">
        <f t="shared" si="10"/>
        <v>26.753864447086801</v>
      </c>
      <c r="U17" s="6">
        <f t="shared" si="11"/>
        <v>2.8105677346824058</v>
      </c>
      <c r="V17" s="6">
        <f t="shared" si="12"/>
        <v>36.016949152542374</v>
      </c>
      <c r="W17" s="6">
        <f t="shared" si="13"/>
        <v>38.135593220338983</v>
      </c>
      <c r="X17" s="6">
        <f t="shared" si="14"/>
        <v>42.022792022792025</v>
      </c>
      <c r="Y17" s="6">
        <f t="shared" si="15"/>
        <v>380.09404388714734</v>
      </c>
      <c r="Z17" s="6">
        <f t="shared" si="16"/>
        <v>1000</v>
      </c>
      <c r="AA17" s="7">
        <f t="shared" si="17"/>
        <v>57.125676488274202</v>
      </c>
      <c r="AB17" s="5">
        <f t="shared" si="18"/>
        <v>16</v>
      </c>
      <c r="AC17" s="6">
        <f t="shared" si="19"/>
        <v>1230.9434034156081</v>
      </c>
      <c r="AD17" s="7">
        <f t="shared" si="20"/>
        <v>2322.0314949458925</v>
      </c>
    </row>
    <row r="18" spans="1:30" ht="16" x14ac:dyDescent="0.2">
      <c r="A18" s="5">
        <v>20</v>
      </c>
      <c r="B18" s="6">
        <v>864</v>
      </c>
      <c r="C18" s="6">
        <v>726</v>
      </c>
      <c r="D18" s="6">
        <v>680</v>
      </c>
      <c r="E18" s="6">
        <v>657</v>
      </c>
      <c r="F18" s="6">
        <v>703</v>
      </c>
      <c r="G18" s="6">
        <v>817</v>
      </c>
      <c r="H18" s="6">
        <v>2500</v>
      </c>
      <c r="I18" s="7">
        <v>1303</v>
      </c>
      <c r="J18" s="5">
        <f t="shared" si="0"/>
        <v>20</v>
      </c>
      <c r="K18" s="6">
        <f t="shared" si="1"/>
        <v>46</v>
      </c>
      <c r="L18" s="6">
        <f t="shared" si="2"/>
        <v>5</v>
      </c>
      <c r="M18" s="6">
        <f t="shared" si="3"/>
        <v>68</v>
      </c>
      <c r="N18" s="6">
        <f t="shared" si="4"/>
        <v>22</v>
      </c>
      <c r="O18" s="6">
        <f t="shared" si="5"/>
        <v>59</v>
      </c>
      <c r="P18" s="6">
        <f t="shared" si="6"/>
        <v>115</v>
      </c>
      <c r="Q18" s="6">
        <f t="shared" si="7"/>
        <v>1797</v>
      </c>
      <c r="R18" s="7">
        <f t="shared" si="8"/>
        <v>466</v>
      </c>
      <c r="S18" s="5">
        <f t="shared" si="9"/>
        <v>20</v>
      </c>
      <c r="T18" s="6">
        <f t="shared" si="10"/>
        <v>27.348394768133176</v>
      </c>
      <c r="U18" s="6">
        <f t="shared" si="11"/>
        <v>2.8105677346824058</v>
      </c>
      <c r="V18" s="6">
        <f t="shared" si="12"/>
        <v>36.016949152542374</v>
      </c>
      <c r="W18" s="6">
        <f t="shared" si="13"/>
        <v>18.64406779661017</v>
      </c>
      <c r="X18" s="6">
        <f t="shared" si="14"/>
        <v>42.022792022792025</v>
      </c>
      <c r="Y18" s="6">
        <f t="shared" si="15"/>
        <v>90.125391849529777</v>
      </c>
      <c r="Z18" s="6">
        <f t="shared" si="16"/>
        <v>1000</v>
      </c>
      <c r="AA18" s="7">
        <f t="shared" si="17"/>
        <v>280.21647624774505</v>
      </c>
      <c r="AB18" s="5">
        <f t="shared" si="18"/>
        <v>20</v>
      </c>
      <c r="AC18" s="6">
        <f t="shared" si="19"/>
        <v>1535.8244976295805</v>
      </c>
      <c r="AD18" s="7">
        <f t="shared" si="20"/>
        <v>2323.7505475102412</v>
      </c>
    </row>
    <row r="19" spans="1:30" ht="16" x14ac:dyDescent="0.2">
      <c r="A19" s="5">
        <v>24</v>
      </c>
      <c r="B19" s="6">
        <v>864</v>
      </c>
      <c r="C19" s="6">
        <v>726</v>
      </c>
      <c r="D19" s="6">
        <v>680</v>
      </c>
      <c r="E19" s="6">
        <v>657</v>
      </c>
      <c r="F19" s="6">
        <v>703</v>
      </c>
      <c r="G19" s="6">
        <v>703</v>
      </c>
      <c r="H19" s="6">
        <v>1743</v>
      </c>
      <c r="I19" s="7">
        <v>2500</v>
      </c>
      <c r="J19" s="5">
        <f t="shared" si="0"/>
        <v>24</v>
      </c>
      <c r="K19" s="6">
        <f t="shared" si="1"/>
        <v>46</v>
      </c>
      <c r="L19" s="6">
        <f t="shared" si="2"/>
        <v>5</v>
      </c>
      <c r="M19" s="6">
        <f t="shared" si="3"/>
        <v>68</v>
      </c>
      <c r="N19" s="6">
        <f t="shared" si="4"/>
        <v>22</v>
      </c>
      <c r="O19" s="6">
        <f t="shared" si="5"/>
        <v>59</v>
      </c>
      <c r="P19" s="6">
        <f t="shared" si="6"/>
        <v>1</v>
      </c>
      <c r="Q19" s="6">
        <f t="shared" si="7"/>
        <v>1040</v>
      </c>
      <c r="R19" s="7">
        <f t="shared" si="8"/>
        <v>1663</v>
      </c>
      <c r="S19" s="5">
        <f t="shared" si="9"/>
        <v>24</v>
      </c>
      <c r="T19" s="6">
        <f t="shared" si="10"/>
        <v>27.348394768133176</v>
      </c>
      <c r="U19" s="6">
        <f t="shared" si="11"/>
        <v>2.8105677346824058</v>
      </c>
      <c r="V19" s="6">
        <f t="shared" si="12"/>
        <v>36.016949152542374</v>
      </c>
      <c r="W19" s="6">
        <f t="shared" si="13"/>
        <v>18.64406779661017</v>
      </c>
      <c r="X19" s="6">
        <f t="shared" si="14"/>
        <v>42.022792022792025</v>
      </c>
      <c r="Y19" s="6">
        <f t="shared" si="15"/>
        <v>0.78369905956112851</v>
      </c>
      <c r="Z19" s="6">
        <f t="shared" si="16"/>
        <v>578.74234835837512</v>
      </c>
      <c r="AA19" s="7">
        <f t="shared" si="17"/>
        <v>1000</v>
      </c>
      <c r="AB19" s="5">
        <f t="shared" si="18"/>
        <v>24</v>
      </c>
      <c r="AC19" s="6">
        <f t="shared" si="19"/>
        <v>2509.4630470974812</v>
      </c>
      <c r="AD19" s="7">
        <f t="shared" si="20"/>
        <v>2802.1312249879225</v>
      </c>
    </row>
    <row r="20" spans="1:30" ht="16" x14ac:dyDescent="0.2">
      <c r="A20" s="5">
        <v>28</v>
      </c>
      <c r="B20" s="6">
        <v>864</v>
      </c>
      <c r="C20" s="6">
        <v>726</v>
      </c>
      <c r="D20" s="6">
        <v>680</v>
      </c>
      <c r="E20" s="6">
        <v>657</v>
      </c>
      <c r="F20" s="6">
        <v>703</v>
      </c>
      <c r="G20" s="6">
        <v>726</v>
      </c>
      <c r="H20" s="6">
        <v>1049</v>
      </c>
      <c r="I20" s="7">
        <v>2500</v>
      </c>
      <c r="J20" s="5">
        <f t="shared" si="0"/>
        <v>28</v>
      </c>
      <c r="K20" s="6">
        <f t="shared" si="1"/>
        <v>46</v>
      </c>
      <c r="L20" s="6">
        <f t="shared" si="2"/>
        <v>5</v>
      </c>
      <c r="M20" s="6">
        <f t="shared" si="3"/>
        <v>68</v>
      </c>
      <c r="N20" s="6">
        <f t="shared" si="4"/>
        <v>22</v>
      </c>
      <c r="O20" s="6">
        <f t="shared" si="5"/>
        <v>59</v>
      </c>
      <c r="P20" s="6">
        <f t="shared" si="6"/>
        <v>24</v>
      </c>
      <c r="Q20" s="6">
        <f t="shared" si="7"/>
        <v>346</v>
      </c>
      <c r="R20" s="7">
        <f t="shared" si="8"/>
        <v>1663</v>
      </c>
      <c r="S20" s="5">
        <f t="shared" si="9"/>
        <v>28</v>
      </c>
      <c r="T20" s="6">
        <f t="shared" si="10"/>
        <v>27.348394768133176</v>
      </c>
      <c r="U20" s="6">
        <f t="shared" si="11"/>
        <v>2.8105677346824058</v>
      </c>
      <c r="V20" s="6">
        <f t="shared" si="12"/>
        <v>36.016949152542374</v>
      </c>
      <c r="W20" s="6">
        <f t="shared" si="13"/>
        <v>18.64406779661017</v>
      </c>
      <c r="X20" s="6">
        <f t="shared" si="14"/>
        <v>42.022792022792025</v>
      </c>
      <c r="Y20" s="6">
        <f t="shared" si="15"/>
        <v>18.808777429467085</v>
      </c>
      <c r="Z20" s="6">
        <f t="shared" si="16"/>
        <v>192.54312743461324</v>
      </c>
      <c r="AA20" s="7">
        <f t="shared" si="17"/>
        <v>1000</v>
      </c>
      <c r="AB20" s="5">
        <f t="shared" si="18"/>
        <v>28</v>
      </c>
      <c r="AC20" s="6">
        <f t="shared" si="19"/>
        <v>2132.2763653586721</v>
      </c>
      <c r="AD20" s="7">
        <f t="shared" si="20"/>
        <v>2153.320205926198</v>
      </c>
    </row>
    <row r="21" spans="1:30" ht="16" x14ac:dyDescent="0.2">
      <c r="A21" s="5">
        <v>32</v>
      </c>
      <c r="B21" s="6">
        <v>865</v>
      </c>
      <c r="C21" s="6">
        <v>726</v>
      </c>
      <c r="D21" s="6">
        <v>680</v>
      </c>
      <c r="E21" s="6">
        <v>657</v>
      </c>
      <c r="F21" s="6">
        <v>703</v>
      </c>
      <c r="G21" s="6">
        <v>726</v>
      </c>
      <c r="H21" s="6">
        <v>703</v>
      </c>
      <c r="I21" s="7">
        <v>2500</v>
      </c>
      <c r="J21" s="5">
        <f t="shared" si="0"/>
        <v>32</v>
      </c>
      <c r="K21" s="6">
        <f t="shared" si="1"/>
        <v>47</v>
      </c>
      <c r="L21" s="6">
        <f t="shared" si="2"/>
        <v>5</v>
      </c>
      <c r="M21" s="6">
        <f t="shared" si="3"/>
        <v>68</v>
      </c>
      <c r="N21" s="6">
        <f t="shared" si="4"/>
        <v>22</v>
      </c>
      <c r="O21" s="6">
        <f t="shared" si="5"/>
        <v>59</v>
      </c>
      <c r="P21" s="6">
        <f t="shared" si="6"/>
        <v>24</v>
      </c>
      <c r="Q21" s="6">
        <f t="shared" si="7"/>
        <v>0</v>
      </c>
      <c r="R21" s="7">
        <f t="shared" si="8"/>
        <v>1663</v>
      </c>
      <c r="S21" s="5">
        <f t="shared" si="9"/>
        <v>32</v>
      </c>
      <c r="T21" s="6">
        <f t="shared" si="10"/>
        <v>27.94292508917955</v>
      </c>
      <c r="U21" s="6">
        <f t="shared" si="11"/>
        <v>2.8105677346824058</v>
      </c>
      <c r="V21" s="6">
        <f t="shared" si="12"/>
        <v>36.016949152542374</v>
      </c>
      <c r="W21" s="6">
        <f t="shared" si="13"/>
        <v>18.64406779661017</v>
      </c>
      <c r="X21" s="6">
        <f t="shared" si="14"/>
        <v>42.022792022792025</v>
      </c>
      <c r="Y21" s="6">
        <f t="shared" si="15"/>
        <v>18.808777429467085</v>
      </c>
      <c r="Z21" s="6">
        <f t="shared" si="16"/>
        <v>0</v>
      </c>
      <c r="AA21" s="7">
        <f t="shared" si="17"/>
        <v>1000</v>
      </c>
      <c r="AB21" s="5">
        <f t="shared" si="18"/>
        <v>32</v>
      </c>
      <c r="AC21" s="6">
        <f t="shared" si="19"/>
        <v>1938.5441772819663</v>
      </c>
      <c r="AD21" s="7">
        <f t="shared" si="20"/>
        <v>1815.2549885636631</v>
      </c>
    </row>
    <row r="22" spans="1:30" ht="16" x14ac:dyDescent="0.2">
      <c r="A22" s="5">
        <v>36</v>
      </c>
      <c r="B22" s="6">
        <v>864</v>
      </c>
      <c r="C22" s="6">
        <v>726</v>
      </c>
      <c r="D22" s="6">
        <v>680</v>
      </c>
      <c r="E22" s="6">
        <v>657</v>
      </c>
      <c r="F22" s="6">
        <v>703</v>
      </c>
      <c r="G22" s="6">
        <v>703</v>
      </c>
      <c r="H22" s="6">
        <v>726</v>
      </c>
      <c r="I22" s="7">
        <v>1445</v>
      </c>
      <c r="J22" s="5">
        <f t="shared" si="0"/>
        <v>36</v>
      </c>
      <c r="K22" s="6">
        <f t="shared" si="1"/>
        <v>46</v>
      </c>
      <c r="L22" s="6">
        <f t="shared" si="2"/>
        <v>5</v>
      </c>
      <c r="M22" s="6">
        <f t="shared" si="3"/>
        <v>68</v>
      </c>
      <c r="N22" s="6">
        <f t="shared" si="4"/>
        <v>22</v>
      </c>
      <c r="O22" s="6">
        <f t="shared" si="5"/>
        <v>59</v>
      </c>
      <c r="P22" s="6">
        <f t="shared" si="6"/>
        <v>1</v>
      </c>
      <c r="Q22" s="6">
        <f t="shared" si="7"/>
        <v>23</v>
      </c>
      <c r="R22" s="7">
        <f t="shared" si="8"/>
        <v>608</v>
      </c>
      <c r="S22" s="5">
        <f t="shared" si="9"/>
        <v>36</v>
      </c>
      <c r="T22" s="6">
        <f t="shared" si="10"/>
        <v>27.348394768133176</v>
      </c>
      <c r="U22" s="6">
        <f t="shared" si="11"/>
        <v>2.8105677346824058</v>
      </c>
      <c r="V22" s="6">
        <f t="shared" si="12"/>
        <v>36.016949152542374</v>
      </c>
      <c r="W22" s="6">
        <f t="shared" si="13"/>
        <v>18.64406779661017</v>
      </c>
      <c r="X22" s="6">
        <f t="shared" si="14"/>
        <v>42.022792022792025</v>
      </c>
      <c r="Y22" s="6">
        <f t="shared" si="15"/>
        <v>0.78369905956112851</v>
      </c>
      <c r="Z22" s="6">
        <f t="shared" si="16"/>
        <v>12.799109627156371</v>
      </c>
      <c r="AA22" s="7">
        <f t="shared" si="17"/>
        <v>365.60432952495489</v>
      </c>
      <c r="AB22" s="5">
        <f t="shared" si="18"/>
        <v>36</v>
      </c>
      <c r="AC22" s="6">
        <f t="shared" si="19"/>
        <v>674.72846741617218</v>
      </c>
      <c r="AD22" s="7">
        <f t="shared" si="20"/>
        <v>622.23867506758017</v>
      </c>
    </row>
    <row r="23" spans="1:30" ht="16" x14ac:dyDescent="0.2">
      <c r="A23" s="8">
        <v>40</v>
      </c>
      <c r="B23" s="9">
        <v>865</v>
      </c>
      <c r="C23" s="9">
        <v>726</v>
      </c>
      <c r="D23" s="9">
        <v>680</v>
      </c>
      <c r="E23" s="9">
        <v>657</v>
      </c>
      <c r="F23" s="9">
        <v>703</v>
      </c>
      <c r="G23" s="9">
        <v>703</v>
      </c>
      <c r="H23" s="9">
        <v>749</v>
      </c>
      <c r="I23" s="10">
        <v>837</v>
      </c>
      <c r="J23" s="8">
        <f t="shared" si="0"/>
        <v>40</v>
      </c>
      <c r="K23" s="9">
        <f t="shared" si="1"/>
        <v>47</v>
      </c>
      <c r="L23" s="9">
        <f t="shared" si="2"/>
        <v>5</v>
      </c>
      <c r="M23" s="9">
        <f t="shared" si="3"/>
        <v>68</v>
      </c>
      <c r="N23" s="9">
        <f t="shared" si="4"/>
        <v>22</v>
      </c>
      <c r="O23" s="9">
        <f t="shared" si="5"/>
        <v>59</v>
      </c>
      <c r="P23" s="9">
        <f t="shared" si="6"/>
        <v>1</v>
      </c>
      <c r="Q23" s="9">
        <f t="shared" si="7"/>
        <v>46</v>
      </c>
      <c r="R23" s="10">
        <f t="shared" si="8"/>
        <v>0</v>
      </c>
      <c r="S23" s="8">
        <f t="shared" si="9"/>
        <v>40</v>
      </c>
      <c r="T23" s="9">
        <f t="shared" si="10"/>
        <v>27.94292508917955</v>
      </c>
      <c r="U23" s="9">
        <f t="shared" si="11"/>
        <v>2.8105677346824058</v>
      </c>
      <c r="V23" s="9">
        <f t="shared" si="12"/>
        <v>36.016949152542374</v>
      </c>
      <c r="W23" s="9">
        <f t="shared" si="13"/>
        <v>18.64406779661017</v>
      </c>
      <c r="X23" s="9">
        <f t="shared" si="14"/>
        <v>42.022792022792025</v>
      </c>
      <c r="Y23" s="9">
        <f t="shared" si="15"/>
        <v>0.78369905956112851</v>
      </c>
      <c r="Z23" s="9">
        <f t="shared" si="16"/>
        <v>25.598219254312742</v>
      </c>
      <c r="AA23" s="10">
        <f t="shared" si="17"/>
        <v>0</v>
      </c>
      <c r="AB23" s="8">
        <f t="shared" si="18"/>
        <v>40</v>
      </c>
      <c r="AC23" s="9">
        <f t="shared" si="19"/>
        <v>-44.870142648673934</v>
      </c>
      <c r="AD23" s="10">
        <f t="shared" si="20"/>
        <v>-41.985745296148565</v>
      </c>
    </row>
    <row r="24" spans="1:30" ht="16" x14ac:dyDescent="0.2">
      <c r="A24" s="11" t="s">
        <v>15</v>
      </c>
      <c r="B24" s="12">
        <f t="shared" ref="B24:I24" si="21">MIN(B3:B23)</f>
        <v>818</v>
      </c>
      <c r="C24" s="12">
        <f t="shared" si="21"/>
        <v>721</v>
      </c>
      <c r="D24" s="12">
        <f t="shared" si="21"/>
        <v>612</v>
      </c>
      <c r="E24" s="12">
        <f t="shared" si="21"/>
        <v>635</v>
      </c>
      <c r="F24" s="12">
        <f t="shared" si="21"/>
        <v>644</v>
      </c>
      <c r="G24" s="12">
        <f t="shared" si="21"/>
        <v>702</v>
      </c>
      <c r="H24" s="12">
        <f t="shared" si="21"/>
        <v>703</v>
      </c>
      <c r="I24" s="13">
        <f t="shared" si="21"/>
        <v>837</v>
      </c>
      <c r="J24" s="11" t="s">
        <v>16</v>
      </c>
      <c r="K24" s="12">
        <f t="shared" ref="K24:R24" si="22">MAX(K3:K23)</f>
        <v>1682</v>
      </c>
      <c r="L24" s="12">
        <f t="shared" si="22"/>
        <v>1779</v>
      </c>
      <c r="M24" s="12">
        <f t="shared" si="22"/>
        <v>1888</v>
      </c>
      <c r="N24" s="12">
        <f t="shared" si="22"/>
        <v>1180</v>
      </c>
      <c r="O24" s="12">
        <f t="shared" si="22"/>
        <v>1404</v>
      </c>
      <c r="P24" s="12">
        <f t="shared" si="22"/>
        <v>1276</v>
      </c>
      <c r="Q24" s="12">
        <f t="shared" si="22"/>
        <v>1797</v>
      </c>
      <c r="R24" s="13">
        <f t="shared" si="22"/>
        <v>1663</v>
      </c>
      <c r="S24" s="11" t="s">
        <v>17</v>
      </c>
      <c r="T24" s="14">
        <f t="shared" ref="T24:AA24" si="23">1000/K24</f>
        <v>0.59453032104637338</v>
      </c>
      <c r="U24" s="14">
        <f t="shared" si="23"/>
        <v>0.56211354693648119</v>
      </c>
      <c r="V24" s="14">
        <f t="shared" si="23"/>
        <v>0.52966101694915257</v>
      </c>
      <c r="W24" s="14">
        <f t="shared" si="23"/>
        <v>0.84745762711864403</v>
      </c>
      <c r="X24" s="14">
        <f t="shared" si="23"/>
        <v>0.71225071225071224</v>
      </c>
      <c r="Y24" s="14">
        <f t="shared" si="23"/>
        <v>0.78369905956112851</v>
      </c>
      <c r="Z24" s="14">
        <f t="shared" si="23"/>
        <v>0.5564830272676683</v>
      </c>
      <c r="AA24" s="15">
        <f t="shared" si="23"/>
        <v>0.60132291040288632</v>
      </c>
      <c r="AB24" s="16"/>
      <c r="AC24" s="17"/>
      <c r="AD24" s="18"/>
    </row>
  </sheetData>
  <mergeCells count="4">
    <mergeCell ref="A1:I1"/>
    <mergeCell ref="J1:R1"/>
    <mergeCell ref="S1:AA1"/>
    <mergeCell ref="AB1:A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 FUSION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Gagik Navasardyan</cp:lastModifiedBy>
  <cp:revision>1</cp:revision>
  <dcterms:created xsi:type="dcterms:W3CDTF">2026-10-22T18:16:16Z</dcterms:created>
  <dcterms:modified xsi:type="dcterms:W3CDTF">2026-10-22T18:20:37Z</dcterms:modified>
  <dc:language>en-US</dc:language>
</cp:coreProperties>
</file>