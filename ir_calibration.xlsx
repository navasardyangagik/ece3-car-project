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agik/Downloads/"/>
    </mc:Choice>
  </mc:AlternateContent>
  <xr:revisionPtr revIDLastSave="0" documentId="11_ECA056B5C6A253F71AFC2F37C779A110471A7ABC" xr6:coauthVersionLast="47" xr6:coauthVersionMax="47" xr10:uidLastSave="{00000000-0000-0000-0000-000000000000}"/>
  <bookViews>
    <workbookView xWindow="0" yWindow="780" windowWidth="36000" windowHeight="22600" tabRatio="500" xr2:uid="{00000000-000D-0000-FFFF-FFFF00000000}"/>
  </bookViews>
  <sheets>
    <sheet name="IR Calibr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4" i="1" l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H29" i="1"/>
  <c r="H30" i="1" s="1"/>
  <c r="B29" i="1"/>
  <c r="B30" i="1" s="1"/>
  <c r="I28" i="1"/>
  <c r="I29" i="1" s="1"/>
  <c r="I30" i="1" s="1"/>
  <c r="I54" i="1" s="1"/>
  <c r="H28" i="1"/>
  <c r="G28" i="1"/>
  <c r="G29" i="1" s="1"/>
  <c r="G30" i="1" s="1"/>
  <c r="F28" i="1"/>
  <c r="F29" i="1" s="1"/>
  <c r="F30" i="1" s="1"/>
  <c r="E28" i="1"/>
  <c r="E29" i="1" s="1"/>
  <c r="E30" i="1" s="1"/>
  <c r="D28" i="1"/>
  <c r="D29" i="1" s="1"/>
  <c r="D30" i="1" s="1"/>
  <c r="C28" i="1"/>
  <c r="C29" i="1" s="1"/>
  <c r="C30" i="1" s="1"/>
  <c r="B28" i="1"/>
  <c r="I27" i="1"/>
  <c r="H27" i="1"/>
  <c r="G27" i="1"/>
  <c r="G54" i="1" s="1"/>
  <c r="F27" i="1"/>
  <c r="E27" i="1"/>
  <c r="E53" i="1" s="1"/>
  <c r="D27" i="1"/>
  <c r="C27" i="1"/>
  <c r="B27" i="1"/>
  <c r="I52" i="1" l="1"/>
  <c r="H40" i="1"/>
  <c r="H48" i="1"/>
  <c r="H36" i="1"/>
  <c r="H52" i="1"/>
  <c r="H44" i="1"/>
  <c r="E51" i="1"/>
  <c r="E47" i="1"/>
  <c r="E43" i="1"/>
  <c r="E35" i="1"/>
  <c r="E39" i="1"/>
  <c r="B52" i="1"/>
  <c r="F51" i="1"/>
  <c r="B54" i="1"/>
  <c r="B50" i="1"/>
  <c r="B46" i="1"/>
  <c r="B42" i="1"/>
  <c r="B38" i="1"/>
  <c r="B43" i="1"/>
  <c r="B39" i="1"/>
  <c r="B35" i="1"/>
  <c r="B34" i="1"/>
  <c r="H54" i="1"/>
  <c r="C54" i="1"/>
  <c r="C50" i="1"/>
  <c r="C46" i="1"/>
  <c r="C42" i="1"/>
  <c r="C38" i="1"/>
  <c r="C34" i="1"/>
  <c r="C52" i="1"/>
  <c r="C48" i="1"/>
  <c r="C44" i="1"/>
  <c r="C40" i="1"/>
  <c r="C36" i="1"/>
  <c r="D54" i="1"/>
  <c r="D50" i="1"/>
  <c r="D46" i="1"/>
  <c r="D42" i="1"/>
  <c r="D38" i="1"/>
  <c r="D34" i="1"/>
  <c r="D52" i="1"/>
  <c r="D48" i="1"/>
  <c r="D44" i="1"/>
  <c r="D40" i="1"/>
  <c r="D36" i="1"/>
  <c r="C53" i="1"/>
  <c r="D53" i="1"/>
  <c r="C35" i="1"/>
  <c r="F36" i="1"/>
  <c r="I37" i="1"/>
  <c r="C39" i="1"/>
  <c r="F40" i="1"/>
  <c r="I41" i="1"/>
  <c r="C43" i="1"/>
  <c r="F44" i="1"/>
  <c r="I45" i="1"/>
  <c r="C47" i="1"/>
  <c r="F48" i="1"/>
  <c r="I49" i="1"/>
  <c r="C51" i="1"/>
  <c r="F52" i="1"/>
  <c r="I53" i="1"/>
  <c r="I34" i="1"/>
  <c r="F37" i="1"/>
  <c r="I38" i="1"/>
  <c r="F41" i="1"/>
  <c r="I42" i="1"/>
  <c r="F45" i="1"/>
  <c r="I46" i="1"/>
  <c r="F49" i="1"/>
  <c r="I50" i="1"/>
  <c r="F53" i="1"/>
  <c r="G37" i="1"/>
  <c r="G41" i="1"/>
  <c r="G45" i="1"/>
  <c r="G49" i="1"/>
  <c r="G53" i="1"/>
  <c r="E36" i="1"/>
  <c r="H37" i="1"/>
  <c r="E40" i="1"/>
  <c r="H41" i="1"/>
  <c r="E44" i="1"/>
  <c r="H45" i="1"/>
  <c r="B47" i="1"/>
  <c r="E48" i="1"/>
  <c r="H49" i="1"/>
  <c r="B51" i="1"/>
  <c r="E52" i="1"/>
  <c r="H53" i="1"/>
  <c r="D35" i="1"/>
  <c r="G36" i="1"/>
  <c r="D39" i="1"/>
  <c r="G40" i="1"/>
  <c r="D43" i="1"/>
  <c r="G44" i="1"/>
  <c r="D47" i="1"/>
  <c r="G48" i="1"/>
  <c r="D51" i="1"/>
  <c r="G52" i="1"/>
  <c r="E34" i="1"/>
  <c r="H35" i="1"/>
  <c r="B37" i="1"/>
  <c r="E38" i="1"/>
  <c r="H39" i="1"/>
  <c r="B41" i="1"/>
  <c r="E42" i="1"/>
  <c r="H43" i="1"/>
  <c r="B45" i="1"/>
  <c r="E46" i="1"/>
  <c r="H47" i="1"/>
  <c r="B49" i="1"/>
  <c r="E50" i="1"/>
  <c r="H51" i="1"/>
  <c r="B53" i="1"/>
  <c r="E54" i="1"/>
  <c r="F34" i="1"/>
  <c r="I35" i="1"/>
  <c r="C37" i="1"/>
  <c r="F38" i="1"/>
  <c r="I39" i="1"/>
  <c r="C41" i="1"/>
  <c r="F42" i="1"/>
  <c r="I43" i="1"/>
  <c r="C45" i="1"/>
  <c r="F46" i="1"/>
  <c r="I47" i="1"/>
  <c r="C49" i="1"/>
  <c r="F50" i="1"/>
  <c r="I51" i="1"/>
  <c r="F54" i="1"/>
  <c r="F35" i="1"/>
  <c r="I36" i="1"/>
  <c r="F39" i="1"/>
  <c r="I40" i="1"/>
  <c r="F43" i="1"/>
  <c r="I44" i="1"/>
  <c r="F47" i="1"/>
  <c r="I48" i="1"/>
  <c r="G35" i="1"/>
  <c r="G39" i="1"/>
  <c r="G43" i="1"/>
  <c r="G47" i="1"/>
  <c r="G51" i="1"/>
  <c r="G34" i="1"/>
  <c r="D37" i="1"/>
  <c r="G38" i="1"/>
  <c r="D41" i="1"/>
  <c r="G42" i="1"/>
  <c r="D45" i="1"/>
  <c r="G46" i="1"/>
  <c r="D49" i="1"/>
  <c r="G50" i="1"/>
  <c r="H34" i="1"/>
  <c r="B36" i="1"/>
  <c r="E37" i="1"/>
  <c r="H38" i="1"/>
  <c r="B40" i="1"/>
  <c r="E41" i="1"/>
  <c r="H42" i="1"/>
  <c r="B44" i="1"/>
  <c r="E45" i="1"/>
  <c r="H46" i="1"/>
  <c r="B48" i="1"/>
  <c r="E49" i="1"/>
  <c r="H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7" authorId="0" shapeId="0" xr:uid="{00000000-0006-0000-0000-000001000000}">
      <text>
        <r>
          <rPr>
            <sz val="10"/>
            <rFont val="Arial"/>
            <family val="2"/>
          </rPr>
          <t>Per-sensor min/max — use these to normalize each sensor to 0–1000 before fusing.</t>
        </r>
      </text>
    </comment>
  </commentList>
</comments>
</file>

<file path=xl/sharedStrings.xml><?xml version="1.0" encoding="utf-8"?>
<sst xmlns="http://schemas.openxmlformats.org/spreadsheetml/2006/main" count="25" uniqueCount="16">
  <si>
    <t>IR Sensor Calibration — raw averaged readings (5 samples per position)</t>
  </si>
  <si>
    <t>Source: Serial Monitor output from calibration script (provided by user). Higher value = darker (more line under sensor); max is 2500.</t>
  </si>
  <si>
    <t>Position (error)</t>
  </si>
  <si>
    <t>S1</t>
  </si>
  <si>
    <t>S2</t>
  </si>
  <si>
    <t>S3</t>
  </si>
  <si>
    <t>S4</t>
  </si>
  <si>
    <t>S5</t>
  </si>
  <si>
    <t>S6</t>
  </si>
  <si>
    <t>S7</t>
  </si>
  <si>
    <t>S8</t>
  </si>
  <si>
    <t>Min</t>
  </si>
  <si>
    <t>Max</t>
  </si>
  <si>
    <t>Range (Max−Min)</t>
  </si>
  <si>
    <t>Scale factor (1000/Range)</t>
  </si>
  <si>
    <t>Normalized readings: (raw − Min) × Scale factor  →  0 to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</si>
</sst>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6F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FF2CC"/>
        <bgColor rgb="FFEE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C833B"/>
      <rgbColor rgb="FF800080"/>
      <rgbColor rgb="FF008080"/>
      <rgbColor rgb="FFBBBBBB"/>
      <rgbColor rgb="FF878787"/>
      <rgbColor rgb="FFA2BE6D"/>
      <rgbColor rgb="FF993366"/>
      <rgbColor rgb="FFFFF2CC"/>
      <rgbColor rgb="FFEEF2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EC3"/>
      <rgbColor rgb="FFFFFF99"/>
      <rgbColor rgb="FFB3B3B3"/>
      <rgbColor rgb="FFFF99CC"/>
      <rgbColor rgb="FFB3C992"/>
      <rgbColor rgb="FFC4D4AE"/>
      <rgbColor rgb="FF3366FF"/>
      <rgbColor rgb="FF33CCCC"/>
      <rgbColor rgb="FF92B251"/>
      <rgbColor rgb="FFFFCC00"/>
      <rgbColor rgb="FFFF9900"/>
      <rgbColor rgb="FFFF6600"/>
      <rgbColor rgb="FF666666"/>
      <rgbColor rgb="FF87A44B"/>
      <rgbColor rgb="FF003366"/>
      <rgbColor rgb="FF7B9443"/>
      <rgbColor rgb="FF003300"/>
      <rgbColor rgb="FF333300"/>
      <rgbColor rgb="FF993300"/>
      <rgbColor rgb="FF993366"/>
      <rgbColor rgb="FF2F4F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Sensor reading vs. line 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 Calibration'!$B$4</c:f>
              <c:strCache>
                <c:ptCount val="1"/>
                <c:pt idx="0">
                  <c:v>S1</c:v>
                </c:pt>
              </c:strCache>
            </c:strRef>
          </c:tx>
          <c:spPr>
            <a:ln w="47520">
              <a:solidFill>
                <a:srgbClr val="6C833B"/>
              </a:solidFill>
              <a:round/>
            </a:ln>
          </c:spPr>
          <c:marker>
            <c:symbol val="circle"/>
            <c:size val="5"/>
            <c:spPr>
              <a:solidFill>
                <a:srgbClr val="6C833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Calibration'!$B$5:$B$25</c:f>
              <c:numCache>
                <c:formatCode>General</c:formatCode>
                <c:ptCount val="21"/>
                <c:pt idx="0">
                  <c:v>2500</c:v>
                </c:pt>
                <c:pt idx="1">
                  <c:v>2500</c:v>
                </c:pt>
                <c:pt idx="2">
                  <c:v>1976</c:v>
                </c:pt>
                <c:pt idx="3">
                  <c:v>979</c:v>
                </c:pt>
                <c:pt idx="4">
                  <c:v>818</c:v>
                </c:pt>
                <c:pt idx="5">
                  <c:v>853</c:v>
                </c:pt>
                <c:pt idx="6">
                  <c:v>863</c:v>
                </c:pt>
                <c:pt idx="7">
                  <c:v>863</c:v>
                </c:pt>
                <c:pt idx="8">
                  <c:v>863</c:v>
                </c:pt>
                <c:pt idx="9">
                  <c:v>864</c:v>
                </c:pt>
                <c:pt idx="10">
                  <c:v>863</c:v>
                </c:pt>
                <c:pt idx="11">
                  <c:v>864</c:v>
                </c:pt>
                <c:pt idx="12">
                  <c:v>863</c:v>
                </c:pt>
                <c:pt idx="13">
                  <c:v>864</c:v>
                </c:pt>
                <c:pt idx="14">
                  <c:v>863</c:v>
                </c:pt>
                <c:pt idx="15">
                  <c:v>864</c:v>
                </c:pt>
                <c:pt idx="16">
                  <c:v>864</c:v>
                </c:pt>
                <c:pt idx="17">
                  <c:v>864</c:v>
                </c:pt>
                <c:pt idx="18">
                  <c:v>865</c:v>
                </c:pt>
                <c:pt idx="19">
                  <c:v>864</c:v>
                </c:pt>
                <c:pt idx="20">
                  <c:v>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1-0F42-B825-18ACE2D22845}"/>
            </c:ext>
          </c:extLst>
        </c:ser>
        <c:ser>
          <c:idx val="1"/>
          <c:order val="1"/>
          <c:tx>
            <c:strRef>
              <c:f>'IR Calibration'!$C$4</c:f>
              <c:strCache>
                <c:ptCount val="1"/>
                <c:pt idx="0">
                  <c:v>S2</c:v>
                </c:pt>
              </c:strCache>
            </c:strRef>
          </c:tx>
          <c:spPr>
            <a:ln w="47520">
              <a:solidFill>
                <a:srgbClr val="7B9443"/>
              </a:solidFill>
              <a:round/>
            </a:ln>
          </c:spPr>
          <c:marker>
            <c:symbol val="circle"/>
            <c:size val="5"/>
            <c:spPr>
              <a:solidFill>
                <a:srgbClr val="7B944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Calibration'!$C$5:$C$25</c:f>
              <c:numCache>
                <c:formatCode>General</c:formatCode>
                <c:ptCount val="21"/>
                <c:pt idx="0">
                  <c:v>726</c:v>
                </c:pt>
                <c:pt idx="1">
                  <c:v>956</c:v>
                </c:pt>
                <c:pt idx="2">
                  <c:v>1814</c:v>
                </c:pt>
                <c:pt idx="3">
                  <c:v>2500</c:v>
                </c:pt>
                <c:pt idx="4">
                  <c:v>2071</c:v>
                </c:pt>
                <c:pt idx="5">
                  <c:v>1117</c:v>
                </c:pt>
                <c:pt idx="6">
                  <c:v>725</c:v>
                </c:pt>
                <c:pt idx="7">
                  <c:v>721</c:v>
                </c:pt>
                <c:pt idx="8">
                  <c:v>748</c:v>
                </c:pt>
                <c:pt idx="9">
                  <c:v>726</c:v>
                </c:pt>
                <c:pt idx="10">
                  <c:v>725</c:v>
                </c:pt>
                <c:pt idx="11">
                  <c:v>726</c:v>
                </c:pt>
                <c:pt idx="12">
                  <c:v>726</c:v>
                </c:pt>
                <c:pt idx="13">
                  <c:v>726</c:v>
                </c:pt>
                <c:pt idx="14">
                  <c:v>726</c:v>
                </c:pt>
                <c:pt idx="15">
                  <c:v>726</c:v>
                </c:pt>
                <c:pt idx="16">
                  <c:v>726</c:v>
                </c:pt>
                <c:pt idx="17">
                  <c:v>726</c:v>
                </c:pt>
                <c:pt idx="18">
                  <c:v>726</c:v>
                </c:pt>
                <c:pt idx="19">
                  <c:v>726</c:v>
                </c:pt>
                <c:pt idx="20">
                  <c:v>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81-0F42-B825-18ACE2D22845}"/>
            </c:ext>
          </c:extLst>
        </c:ser>
        <c:ser>
          <c:idx val="2"/>
          <c:order val="2"/>
          <c:tx>
            <c:strRef>
              <c:f>'IR Calibration'!$D$4</c:f>
              <c:strCache>
                <c:ptCount val="1"/>
                <c:pt idx="0">
                  <c:v>S3</c:v>
                </c:pt>
              </c:strCache>
            </c:strRef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Calibration'!$D$5:$D$25</c:f>
              <c:numCache>
                <c:formatCode>General</c:formatCode>
                <c:ptCount val="21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886</c:v>
                </c:pt>
                <c:pt idx="4">
                  <c:v>1373</c:v>
                </c:pt>
                <c:pt idx="5">
                  <c:v>2500</c:v>
                </c:pt>
                <c:pt idx="6">
                  <c:v>2500</c:v>
                </c:pt>
                <c:pt idx="7">
                  <c:v>1373</c:v>
                </c:pt>
                <c:pt idx="8">
                  <c:v>711</c:v>
                </c:pt>
                <c:pt idx="9">
                  <c:v>612</c:v>
                </c:pt>
                <c:pt idx="10">
                  <c:v>657</c:v>
                </c:pt>
                <c:pt idx="11">
                  <c:v>680</c:v>
                </c:pt>
                <c:pt idx="12">
                  <c:v>680</c:v>
                </c:pt>
                <c:pt idx="13">
                  <c:v>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680</c:v>
                </c:pt>
                <c:pt idx="19">
                  <c:v>680</c:v>
                </c:pt>
                <c:pt idx="20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81-0F42-B825-18ACE2D22845}"/>
            </c:ext>
          </c:extLst>
        </c:ser>
        <c:ser>
          <c:idx val="3"/>
          <c:order val="3"/>
          <c:tx>
            <c:strRef>
              <c:f>'IR Calibration'!$E$4</c:f>
              <c:strCache>
                <c:ptCount val="1"/>
                <c:pt idx="0">
                  <c:v>S4</c:v>
                </c:pt>
              </c:strCache>
            </c:strRef>
          </c:tx>
          <c:spPr>
            <a:ln w="47520">
              <a:solidFill>
                <a:srgbClr val="92B251"/>
              </a:solidFill>
              <a:round/>
            </a:ln>
          </c:spPr>
          <c:marker>
            <c:symbol val="circle"/>
            <c:size val="5"/>
            <c:spPr>
              <a:solidFill>
                <a:srgbClr val="92B25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Calibration'!$E$5:$E$25</c:f>
              <c:numCache>
                <c:formatCode>General</c:formatCode>
                <c:ptCount val="21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657</c:v>
                </c:pt>
                <c:pt idx="4">
                  <c:v>658</c:v>
                </c:pt>
                <c:pt idx="5">
                  <c:v>771</c:v>
                </c:pt>
                <c:pt idx="6">
                  <c:v>1141</c:v>
                </c:pt>
                <c:pt idx="7">
                  <c:v>1815</c:v>
                </c:pt>
                <c:pt idx="8">
                  <c:v>1802</c:v>
                </c:pt>
                <c:pt idx="9">
                  <c:v>1234</c:v>
                </c:pt>
                <c:pt idx="10">
                  <c:v>794</c:v>
                </c:pt>
                <c:pt idx="11">
                  <c:v>635</c:v>
                </c:pt>
                <c:pt idx="12">
                  <c:v>657</c:v>
                </c:pt>
                <c:pt idx="13">
                  <c:v>657</c:v>
                </c:pt>
                <c:pt idx="14">
                  <c:v>680</c:v>
                </c:pt>
                <c:pt idx="15">
                  <c:v>657</c:v>
                </c:pt>
                <c:pt idx="16">
                  <c:v>657</c:v>
                </c:pt>
                <c:pt idx="17">
                  <c:v>657</c:v>
                </c:pt>
                <c:pt idx="18">
                  <c:v>657</c:v>
                </c:pt>
                <c:pt idx="19">
                  <c:v>657</c:v>
                </c:pt>
                <c:pt idx="20">
                  <c:v>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81-0F42-B825-18ACE2D22845}"/>
            </c:ext>
          </c:extLst>
        </c:ser>
        <c:ser>
          <c:idx val="4"/>
          <c:order val="4"/>
          <c:tx>
            <c:strRef>
              <c:f>'IR Calibration'!$F$4</c:f>
              <c:strCache>
                <c:ptCount val="1"/>
                <c:pt idx="0">
                  <c:v>S5</c:v>
                </c:pt>
              </c:strCache>
            </c:strRef>
          </c:tx>
          <c:spPr>
            <a:ln w="47520">
              <a:solidFill>
                <a:srgbClr val="A2BE6D"/>
              </a:solidFill>
              <a:round/>
            </a:ln>
          </c:spPr>
          <c:marker>
            <c:symbol val="circle"/>
            <c:size val="5"/>
            <c:spPr>
              <a:solidFill>
                <a:srgbClr val="A2BE6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Calibration'!$F$5:$F$25</c:f>
              <c:numCache>
                <c:formatCode>General</c:formatCode>
                <c:ptCount val="21"/>
                <c:pt idx="0">
                  <c:v>703</c:v>
                </c:pt>
                <c:pt idx="1">
                  <c:v>703</c:v>
                </c:pt>
                <c:pt idx="2">
                  <c:v>703</c:v>
                </c:pt>
                <c:pt idx="3">
                  <c:v>703</c:v>
                </c:pt>
                <c:pt idx="4">
                  <c:v>703</c:v>
                </c:pt>
                <c:pt idx="5">
                  <c:v>702</c:v>
                </c:pt>
                <c:pt idx="6">
                  <c:v>653</c:v>
                </c:pt>
                <c:pt idx="7">
                  <c:v>644</c:v>
                </c:pt>
                <c:pt idx="8">
                  <c:v>890</c:v>
                </c:pt>
                <c:pt idx="9">
                  <c:v>1351</c:v>
                </c:pt>
                <c:pt idx="10">
                  <c:v>2048</c:v>
                </c:pt>
                <c:pt idx="11">
                  <c:v>1746</c:v>
                </c:pt>
                <c:pt idx="12">
                  <c:v>1025</c:v>
                </c:pt>
                <c:pt idx="13">
                  <c:v>657</c:v>
                </c:pt>
                <c:pt idx="14">
                  <c:v>703</c:v>
                </c:pt>
                <c:pt idx="15">
                  <c:v>703</c:v>
                </c:pt>
                <c:pt idx="16">
                  <c:v>703</c:v>
                </c:pt>
                <c:pt idx="17">
                  <c:v>703</c:v>
                </c:pt>
                <c:pt idx="18">
                  <c:v>703</c:v>
                </c:pt>
                <c:pt idx="19">
                  <c:v>703</c:v>
                </c:pt>
                <c:pt idx="20">
                  <c:v>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81-0F42-B825-18ACE2D22845}"/>
            </c:ext>
          </c:extLst>
        </c:ser>
        <c:ser>
          <c:idx val="5"/>
          <c:order val="5"/>
          <c:tx>
            <c:strRef>
              <c:f>'IR Calibration'!$G$4</c:f>
              <c:strCache>
                <c:ptCount val="1"/>
                <c:pt idx="0">
                  <c:v>S6</c:v>
                </c:pt>
              </c:strCache>
            </c:strRef>
          </c:tx>
          <c:spPr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Calibration'!$G$5:$G$25</c:f>
              <c:numCache>
                <c:formatCode>General</c:formatCode>
                <c:ptCount val="21"/>
                <c:pt idx="0">
                  <c:v>703</c:v>
                </c:pt>
                <c:pt idx="1">
                  <c:v>703</c:v>
                </c:pt>
                <c:pt idx="2">
                  <c:v>703</c:v>
                </c:pt>
                <c:pt idx="3">
                  <c:v>703</c:v>
                </c:pt>
                <c:pt idx="4">
                  <c:v>703</c:v>
                </c:pt>
                <c:pt idx="5">
                  <c:v>702</c:v>
                </c:pt>
                <c:pt idx="6">
                  <c:v>702</c:v>
                </c:pt>
                <c:pt idx="7">
                  <c:v>703</c:v>
                </c:pt>
                <c:pt idx="8">
                  <c:v>702</c:v>
                </c:pt>
                <c:pt idx="9">
                  <c:v>703</c:v>
                </c:pt>
                <c:pt idx="10">
                  <c:v>817</c:v>
                </c:pt>
                <c:pt idx="11">
                  <c:v>1248</c:v>
                </c:pt>
                <c:pt idx="12">
                  <c:v>1876</c:v>
                </c:pt>
                <c:pt idx="13">
                  <c:v>1978</c:v>
                </c:pt>
                <c:pt idx="14">
                  <c:v>1187</c:v>
                </c:pt>
                <c:pt idx="15">
                  <c:v>817</c:v>
                </c:pt>
                <c:pt idx="16">
                  <c:v>703</c:v>
                </c:pt>
                <c:pt idx="17">
                  <c:v>726</c:v>
                </c:pt>
                <c:pt idx="18">
                  <c:v>726</c:v>
                </c:pt>
                <c:pt idx="19">
                  <c:v>703</c:v>
                </c:pt>
                <c:pt idx="20">
                  <c:v>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81-0F42-B825-18ACE2D22845}"/>
            </c:ext>
          </c:extLst>
        </c:ser>
        <c:ser>
          <c:idx val="6"/>
          <c:order val="6"/>
          <c:tx>
            <c:strRef>
              <c:f>'IR Calibration'!$H$4</c:f>
              <c:strCache>
                <c:ptCount val="1"/>
                <c:pt idx="0">
                  <c:v>S7</c:v>
                </c:pt>
              </c:strCache>
            </c:strRef>
          </c:tx>
          <c:spPr>
            <a:ln w="47520">
              <a:solidFill>
                <a:srgbClr val="C4D4AE"/>
              </a:solidFill>
              <a:round/>
            </a:ln>
          </c:spPr>
          <c:marker>
            <c:symbol val="circle"/>
            <c:size val="5"/>
            <c:spPr>
              <a:solidFill>
                <a:srgbClr val="C4D4A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Calibration'!$H$5:$H$25</c:f>
              <c:numCache>
                <c:formatCode>General</c:formatCode>
                <c:ptCount val="21"/>
                <c:pt idx="0">
                  <c:v>762</c:v>
                </c:pt>
                <c:pt idx="1">
                  <c:v>758</c:v>
                </c:pt>
                <c:pt idx="2">
                  <c:v>767</c:v>
                </c:pt>
                <c:pt idx="3">
                  <c:v>771</c:v>
                </c:pt>
                <c:pt idx="4">
                  <c:v>772</c:v>
                </c:pt>
                <c:pt idx="5">
                  <c:v>771</c:v>
                </c:pt>
                <c:pt idx="6">
                  <c:v>771</c:v>
                </c:pt>
                <c:pt idx="7">
                  <c:v>771</c:v>
                </c:pt>
                <c:pt idx="8">
                  <c:v>771</c:v>
                </c:pt>
                <c:pt idx="9">
                  <c:v>772</c:v>
                </c:pt>
                <c:pt idx="10">
                  <c:v>771</c:v>
                </c:pt>
                <c:pt idx="11">
                  <c:v>749</c:v>
                </c:pt>
                <c:pt idx="12">
                  <c:v>817</c:v>
                </c:pt>
                <c:pt idx="13">
                  <c:v>1197</c:v>
                </c:pt>
                <c:pt idx="14">
                  <c:v>2500</c:v>
                </c:pt>
                <c:pt idx="15">
                  <c:v>2500</c:v>
                </c:pt>
                <c:pt idx="16">
                  <c:v>1743</c:v>
                </c:pt>
                <c:pt idx="17">
                  <c:v>1049</c:v>
                </c:pt>
                <c:pt idx="18">
                  <c:v>703</c:v>
                </c:pt>
                <c:pt idx="19">
                  <c:v>726</c:v>
                </c:pt>
                <c:pt idx="20">
                  <c:v>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81-0F42-B825-18ACE2D22845}"/>
            </c:ext>
          </c:extLst>
        </c:ser>
        <c:ser>
          <c:idx val="7"/>
          <c:order val="7"/>
          <c:tx>
            <c:strRef>
              <c:f>'IR Calibration'!$I$4</c:f>
              <c:strCache>
                <c:ptCount val="1"/>
                <c:pt idx="0">
                  <c:v>S8</c:v>
                </c:pt>
              </c:strCache>
            </c:strRef>
          </c:tx>
          <c:spPr>
            <a:ln w="47520">
              <a:solidFill>
                <a:srgbClr val="D3DEC3"/>
              </a:solidFill>
              <a:round/>
            </a:ln>
          </c:spPr>
          <c:marker>
            <c:symbol val="circle"/>
            <c:size val="5"/>
            <c:spPr>
              <a:solidFill>
                <a:srgbClr val="D3DEC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Calibration'!$A$5:$A$25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Calibration'!$I$5:$I$25</c:f>
              <c:numCache>
                <c:formatCode>General</c:formatCode>
                <c:ptCount val="21"/>
                <c:pt idx="0">
                  <c:v>888</c:v>
                </c:pt>
                <c:pt idx="1">
                  <c:v>887</c:v>
                </c:pt>
                <c:pt idx="2">
                  <c:v>887</c:v>
                </c:pt>
                <c:pt idx="3">
                  <c:v>886</c:v>
                </c:pt>
                <c:pt idx="4">
                  <c:v>887</c:v>
                </c:pt>
                <c:pt idx="5">
                  <c:v>886</c:v>
                </c:pt>
                <c:pt idx="6">
                  <c:v>886</c:v>
                </c:pt>
                <c:pt idx="7">
                  <c:v>886</c:v>
                </c:pt>
                <c:pt idx="8">
                  <c:v>886</c:v>
                </c:pt>
                <c:pt idx="9">
                  <c:v>887</c:v>
                </c:pt>
                <c:pt idx="10">
                  <c:v>886</c:v>
                </c:pt>
                <c:pt idx="11">
                  <c:v>891</c:v>
                </c:pt>
                <c:pt idx="12">
                  <c:v>909</c:v>
                </c:pt>
                <c:pt idx="13">
                  <c:v>887</c:v>
                </c:pt>
                <c:pt idx="14">
                  <c:v>932</c:v>
                </c:pt>
                <c:pt idx="15">
                  <c:v>1303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1445</c:v>
                </c:pt>
                <c:pt idx="20">
                  <c:v>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81-0F42-B825-18ACE2D2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02024"/>
        <c:axId val="70039880"/>
      </c:scatterChart>
      <c:valAx>
        <c:axId val="858020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Position (error)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39880"/>
        <c:crosses val="autoZero"/>
        <c:crossBetween val="midCat"/>
      </c:valAx>
      <c:valAx>
        <c:axId val="70039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Raw reading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8020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Normalized reading vs. line 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 Calibration'!$B$33</c:f>
              <c:strCache>
                <c:ptCount val="1"/>
                <c:pt idx="0">
                  <c:v>S1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Calibration'!$B$34:$B$54</c:f>
              <c:numCache>
                <c:formatCode>0</c:formatCode>
                <c:ptCount val="21"/>
                <c:pt idx="0">
                  <c:v>1000</c:v>
                </c:pt>
                <c:pt idx="1">
                  <c:v>1000</c:v>
                </c:pt>
                <c:pt idx="2">
                  <c:v>688.46611177170041</c:v>
                </c:pt>
                <c:pt idx="3">
                  <c:v>95.719381688466115</c:v>
                </c:pt>
                <c:pt idx="4">
                  <c:v>0</c:v>
                </c:pt>
                <c:pt idx="5">
                  <c:v>20.808561236623067</c:v>
                </c:pt>
                <c:pt idx="6">
                  <c:v>26.753864447086801</c:v>
                </c:pt>
                <c:pt idx="7">
                  <c:v>26.753864447086801</c:v>
                </c:pt>
                <c:pt idx="8">
                  <c:v>26.753864447086801</c:v>
                </c:pt>
                <c:pt idx="9">
                  <c:v>27.348394768133176</c:v>
                </c:pt>
                <c:pt idx="10">
                  <c:v>26.753864447086801</c:v>
                </c:pt>
                <c:pt idx="11">
                  <c:v>27.348394768133176</c:v>
                </c:pt>
                <c:pt idx="12">
                  <c:v>26.753864447086801</c:v>
                </c:pt>
                <c:pt idx="13">
                  <c:v>27.348394768133176</c:v>
                </c:pt>
                <c:pt idx="14">
                  <c:v>26.753864447086801</c:v>
                </c:pt>
                <c:pt idx="15">
                  <c:v>27.348394768133176</c:v>
                </c:pt>
                <c:pt idx="16">
                  <c:v>27.348394768133176</c:v>
                </c:pt>
                <c:pt idx="17">
                  <c:v>27.348394768133176</c:v>
                </c:pt>
                <c:pt idx="18">
                  <c:v>27.94292508917955</c:v>
                </c:pt>
                <c:pt idx="19">
                  <c:v>27.348394768133176</c:v>
                </c:pt>
                <c:pt idx="20">
                  <c:v>27.94292508917955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14-274C-B64C-E07F3771F321}"/>
            </c:ext>
          </c:extLst>
        </c:ser>
        <c:ser>
          <c:idx val="1"/>
          <c:order val="1"/>
          <c:tx>
            <c:strRef>
              <c:f>'IR Calibration'!$C$33</c:f>
              <c:strCache>
                <c:ptCount val="1"/>
                <c:pt idx="0">
                  <c:v>S2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Calibration'!$C$34:$C$54</c:f>
              <c:numCache>
                <c:formatCode>0</c:formatCode>
                <c:ptCount val="21"/>
                <c:pt idx="0">
                  <c:v>2.8105677346824058</c:v>
                </c:pt>
                <c:pt idx="1">
                  <c:v>132.09668353007308</c:v>
                </c:pt>
                <c:pt idx="2">
                  <c:v>614.39010680157389</c:v>
                </c:pt>
                <c:pt idx="3">
                  <c:v>1000</c:v>
                </c:pt>
                <c:pt idx="4">
                  <c:v>758.85328836424958</c:v>
                </c:pt>
                <c:pt idx="5">
                  <c:v>222.59696458684655</c:v>
                </c:pt>
                <c:pt idx="6">
                  <c:v>2.2484541877459248</c:v>
                </c:pt>
                <c:pt idx="7">
                  <c:v>0</c:v>
                </c:pt>
                <c:pt idx="8">
                  <c:v>15.177065767284992</c:v>
                </c:pt>
                <c:pt idx="9">
                  <c:v>2.8105677346824058</c:v>
                </c:pt>
                <c:pt idx="10">
                  <c:v>2.2484541877459248</c:v>
                </c:pt>
                <c:pt idx="11">
                  <c:v>2.8105677346824058</c:v>
                </c:pt>
                <c:pt idx="12">
                  <c:v>2.8105677346824058</c:v>
                </c:pt>
                <c:pt idx="13">
                  <c:v>2.8105677346824058</c:v>
                </c:pt>
                <c:pt idx="14">
                  <c:v>2.8105677346824058</c:v>
                </c:pt>
                <c:pt idx="15">
                  <c:v>2.8105677346824058</c:v>
                </c:pt>
                <c:pt idx="16">
                  <c:v>2.8105677346824058</c:v>
                </c:pt>
                <c:pt idx="17">
                  <c:v>2.8105677346824058</c:v>
                </c:pt>
                <c:pt idx="18">
                  <c:v>2.8105677346824058</c:v>
                </c:pt>
                <c:pt idx="19">
                  <c:v>2.8105677346824058</c:v>
                </c:pt>
                <c:pt idx="20">
                  <c:v>2.8105677346824058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14-274C-B64C-E07F3771F321}"/>
            </c:ext>
          </c:extLst>
        </c:ser>
        <c:ser>
          <c:idx val="2"/>
          <c:order val="2"/>
          <c:tx>
            <c:strRef>
              <c:f>'IR Calibration'!$D$33</c:f>
              <c:strCache>
                <c:ptCount val="1"/>
                <c:pt idx="0">
                  <c:v>S3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Calibration'!$D$34:$D$54</c:f>
              <c:numCache>
                <c:formatCode>0</c:formatCode>
                <c:ptCount val="21"/>
                <c:pt idx="0">
                  <c:v>36.016949152542374</c:v>
                </c:pt>
                <c:pt idx="1">
                  <c:v>36.016949152542374</c:v>
                </c:pt>
                <c:pt idx="2">
                  <c:v>36.016949152542374</c:v>
                </c:pt>
                <c:pt idx="3">
                  <c:v>145.12711864406779</c:v>
                </c:pt>
                <c:pt idx="4">
                  <c:v>403.07203389830511</c:v>
                </c:pt>
                <c:pt idx="5">
                  <c:v>1000.0000000000001</c:v>
                </c:pt>
                <c:pt idx="6">
                  <c:v>1000.0000000000001</c:v>
                </c:pt>
                <c:pt idx="7">
                  <c:v>403.07203389830511</c:v>
                </c:pt>
                <c:pt idx="8">
                  <c:v>52.436440677966104</c:v>
                </c:pt>
                <c:pt idx="9">
                  <c:v>0</c:v>
                </c:pt>
                <c:pt idx="10">
                  <c:v>23.834745762711865</c:v>
                </c:pt>
                <c:pt idx="11">
                  <c:v>36.016949152542374</c:v>
                </c:pt>
                <c:pt idx="12">
                  <c:v>36.016949152542374</c:v>
                </c:pt>
                <c:pt idx="13">
                  <c:v>36.016949152542374</c:v>
                </c:pt>
                <c:pt idx="14">
                  <c:v>36.016949152542374</c:v>
                </c:pt>
                <c:pt idx="15">
                  <c:v>36.016949152542374</c:v>
                </c:pt>
                <c:pt idx="16">
                  <c:v>36.016949152542374</c:v>
                </c:pt>
                <c:pt idx="17">
                  <c:v>36.016949152542374</c:v>
                </c:pt>
                <c:pt idx="18">
                  <c:v>36.016949152542374</c:v>
                </c:pt>
                <c:pt idx="19">
                  <c:v>36.016949152542374</c:v>
                </c:pt>
                <c:pt idx="20">
                  <c:v>36.016949152542374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14-274C-B64C-E07F3771F321}"/>
            </c:ext>
          </c:extLst>
        </c:ser>
        <c:ser>
          <c:idx val="3"/>
          <c:order val="3"/>
          <c:tx>
            <c:strRef>
              <c:f>'IR Calibration'!$E$33</c:f>
              <c:strCache>
                <c:ptCount val="1"/>
                <c:pt idx="0">
                  <c:v>S4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Calibration'!$E$34:$E$54</c:f>
              <c:numCache>
                <c:formatCode>0</c:formatCode>
                <c:ptCount val="21"/>
                <c:pt idx="0">
                  <c:v>38.135593220338983</c:v>
                </c:pt>
                <c:pt idx="1">
                  <c:v>38.135593220338983</c:v>
                </c:pt>
                <c:pt idx="2">
                  <c:v>38.135593220338983</c:v>
                </c:pt>
                <c:pt idx="3">
                  <c:v>18.64406779661017</c:v>
                </c:pt>
                <c:pt idx="4">
                  <c:v>19.491525423728813</c:v>
                </c:pt>
                <c:pt idx="5">
                  <c:v>115.25423728813558</c:v>
                </c:pt>
                <c:pt idx="6">
                  <c:v>428.81355932203388</c:v>
                </c:pt>
                <c:pt idx="7">
                  <c:v>1000</c:v>
                </c:pt>
                <c:pt idx="8">
                  <c:v>988.98305084745755</c:v>
                </c:pt>
                <c:pt idx="9">
                  <c:v>507.62711864406776</c:v>
                </c:pt>
                <c:pt idx="10">
                  <c:v>134.74576271186439</c:v>
                </c:pt>
                <c:pt idx="11">
                  <c:v>0</c:v>
                </c:pt>
                <c:pt idx="12">
                  <c:v>18.64406779661017</c:v>
                </c:pt>
                <c:pt idx="13">
                  <c:v>18.64406779661017</c:v>
                </c:pt>
                <c:pt idx="14">
                  <c:v>38.135593220338983</c:v>
                </c:pt>
                <c:pt idx="15">
                  <c:v>18.64406779661017</c:v>
                </c:pt>
                <c:pt idx="16">
                  <c:v>18.64406779661017</c:v>
                </c:pt>
                <c:pt idx="17">
                  <c:v>18.64406779661017</c:v>
                </c:pt>
                <c:pt idx="18">
                  <c:v>18.64406779661017</c:v>
                </c:pt>
                <c:pt idx="19">
                  <c:v>18.64406779661017</c:v>
                </c:pt>
                <c:pt idx="20">
                  <c:v>18.64406779661017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14-274C-B64C-E07F3771F321}"/>
            </c:ext>
          </c:extLst>
        </c:ser>
        <c:ser>
          <c:idx val="4"/>
          <c:order val="4"/>
          <c:tx>
            <c:strRef>
              <c:f>'IR Calibration'!$F$33</c:f>
              <c:strCache>
                <c:ptCount val="1"/>
                <c:pt idx="0">
                  <c:v>S5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Calibration'!$F$34:$F$54</c:f>
              <c:numCache>
                <c:formatCode>0</c:formatCode>
                <c:ptCount val="21"/>
                <c:pt idx="0">
                  <c:v>42.022792022792025</c:v>
                </c:pt>
                <c:pt idx="1">
                  <c:v>42.022792022792025</c:v>
                </c:pt>
                <c:pt idx="2">
                  <c:v>42.022792022792025</c:v>
                </c:pt>
                <c:pt idx="3">
                  <c:v>42.022792022792025</c:v>
                </c:pt>
                <c:pt idx="4">
                  <c:v>42.022792022792025</c:v>
                </c:pt>
                <c:pt idx="5">
                  <c:v>41.310541310541311</c:v>
                </c:pt>
                <c:pt idx="6">
                  <c:v>6.4102564102564106</c:v>
                </c:pt>
                <c:pt idx="7">
                  <c:v>0</c:v>
                </c:pt>
                <c:pt idx="8">
                  <c:v>175.2136752136752</c:v>
                </c:pt>
                <c:pt idx="9">
                  <c:v>503.56125356125358</c:v>
                </c:pt>
                <c:pt idx="10">
                  <c:v>1000</c:v>
                </c:pt>
                <c:pt idx="11">
                  <c:v>784.90028490028487</c:v>
                </c:pt>
                <c:pt idx="12">
                  <c:v>271.36752136752136</c:v>
                </c:pt>
                <c:pt idx="13">
                  <c:v>9.2592592592592595</c:v>
                </c:pt>
                <c:pt idx="14">
                  <c:v>42.022792022792025</c:v>
                </c:pt>
                <c:pt idx="15">
                  <c:v>42.022792022792025</c:v>
                </c:pt>
                <c:pt idx="16">
                  <c:v>42.022792022792025</c:v>
                </c:pt>
                <c:pt idx="17">
                  <c:v>42.022792022792025</c:v>
                </c:pt>
                <c:pt idx="18">
                  <c:v>42.022792022792025</c:v>
                </c:pt>
                <c:pt idx="19">
                  <c:v>42.022792022792025</c:v>
                </c:pt>
                <c:pt idx="20">
                  <c:v>42.022792022792025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14-274C-B64C-E07F3771F321}"/>
            </c:ext>
          </c:extLst>
        </c:ser>
        <c:ser>
          <c:idx val="5"/>
          <c:order val="5"/>
          <c:tx>
            <c:strRef>
              <c:f>'IR Calibration'!$G$33</c:f>
              <c:strCache>
                <c:ptCount val="1"/>
                <c:pt idx="0">
                  <c:v>S6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Calibration'!$G$34:$G$54</c:f>
              <c:numCache>
                <c:formatCode>0</c:formatCode>
                <c:ptCount val="21"/>
                <c:pt idx="0">
                  <c:v>0.78369905956112851</c:v>
                </c:pt>
                <c:pt idx="1">
                  <c:v>0.78369905956112851</c:v>
                </c:pt>
                <c:pt idx="2">
                  <c:v>0.78369905956112851</c:v>
                </c:pt>
                <c:pt idx="3">
                  <c:v>0.78369905956112851</c:v>
                </c:pt>
                <c:pt idx="4">
                  <c:v>0.78369905956112851</c:v>
                </c:pt>
                <c:pt idx="5">
                  <c:v>0</c:v>
                </c:pt>
                <c:pt idx="6">
                  <c:v>0</c:v>
                </c:pt>
                <c:pt idx="7">
                  <c:v>0.78369905956112851</c:v>
                </c:pt>
                <c:pt idx="8">
                  <c:v>0</c:v>
                </c:pt>
                <c:pt idx="9">
                  <c:v>0.78369905956112851</c:v>
                </c:pt>
                <c:pt idx="10">
                  <c:v>90.125391849529777</c:v>
                </c:pt>
                <c:pt idx="11">
                  <c:v>427.89968652037618</c:v>
                </c:pt>
                <c:pt idx="12">
                  <c:v>920.06269592476485</c:v>
                </c:pt>
                <c:pt idx="13">
                  <c:v>1000</c:v>
                </c:pt>
                <c:pt idx="14">
                  <c:v>380.09404388714734</c:v>
                </c:pt>
                <c:pt idx="15">
                  <c:v>90.125391849529777</c:v>
                </c:pt>
                <c:pt idx="16">
                  <c:v>0.78369905956112851</c:v>
                </c:pt>
                <c:pt idx="17">
                  <c:v>18.808777429467085</c:v>
                </c:pt>
                <c:pt idx="18">
                  <c:v>18.808777429467085</c:v>
                </c:pt>
                <c:pt idx="19">
                  <c:v>0.78369905956112851</c:v>
                </c:pt>
                <c:pt idx="20">
                  <c:v>0.78369905956112851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14-274C-B64C-E07F3771F321}"/>
            </c:ext>
          </c:extLst>
        </c:ser>
        <c:ser>
          <c:idx val="6"/>
          <c:order val="6"/>
          <c:tx>
            <c:strRef>
              <c:f>'IR Calibration'!$H$33</c:f>
              <c:strCache>
                <c:ptCount val="1"/>
                <c:pt idx="0">
                  <c:v>S7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Calibration'!$H$34:$H$54</c:f>
              <c:numCache>
                <c:formatCode>0</c:formatCode>
                <c:ptCount val="21"/>
                <c:pt idx="0">
                  <c:v>32.832498608792427</c:v>
                </c:pt>
                <c:pt idx="1">
                  <c:v>30.606566499721755</c:v>
                </c:pt>
                <c:pt idx="2">
                  <c:v>35.614913745130771</c:v>
                </c:pt>
                <c:pt idx="3">
                  <c:v>37.840845854201447</c:v>
                </c:pt>
                <c:pt idx="4">
                  <c:v>38.397328881469114</c:v>
                </c:pt>
                <c:pt idx="5">
                  <c:v>37.840845854201447</c:v>
                </c:pt>
                <c:pt idx="6">
                  <c:v>37.840845854201447</c:v>
                </c:pt>
                <c:pt idx="7">
                  <c:v>37.840845854201447</c:v>
                </c:pt>
                <c:pt idx="8">
                  <c:v>37.840845854201447</c:v>
                </c:pt>
                <c:pt idx="9">
                  <c:v>38.397328881469114</c:v>
                </c:pt>
                <c:pt idx="10">
                  <c:v>37.840845854201447</c:v>
                </c:pt>
                <c:pt idx="11">
                  <c:v>25.598219254312742</c:v>
                </c:pt>
                <c:pt idx="12">
                  <c:v>63.439065108514185</c:v>
                </c:pt>
                <c:pt idx="13">
                  <c:v>274.90261547022811</c:v>
                </c:pt>
                <c:pt idx="14">
                  <c:v>999.99999999999989</c:v>
                </c:pt>
                <c:pt idx="15">
                  <c:v>999.99999999999989</c:v>
                </c:pt>
                <c:pt idx="16">
                  <c:v>578.74234835837501</c:v>
                </c:pt>
                <c:pt idx="17">
                  <c:v>192.54312743461324</c:v>
                </c:pt>
                <c:pt idx="18">
                  <c:v>0</c:v>
                </c:pt>
                <c:pt idx="19">
                  <c:v>12.799109627156371</c:v>
                </c:pt>
                <c:pt idx="20">
                  <c:v>25.598219254312742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14-274C-B64C-E07F3771F321}"/>
            </c:ext>
          </c:extLst>
        </c:ser>
        <c:ser>
          <c:idx val="7"/>
          <c:order val="7"/>
          <c:tx>
            <c:strRef>
              <c:f>'IR Calibration'!$I$33</c:f>
              <c:strCache>
                <c:ptCount val="1"/>
                <c:pt idx="0">
                  <c:v>S8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'IR Calibration'!$A$34:$A$54</c:f>
              <c:numCache>
                <c:formatCode>General</c:formatCode>
                <c:ptCount val="21"/>
                <c:pt idx="0">
                  <c:v>-40</c:v>
                </c:pt>
                <c:pt idx="1">
                  <c:v>-36</c:v>
                </c:pt>
                <c:pt idx="2">
                  <c:v>-32</c:v>
                </c:pt>
                <c:pt idx="3">
                  <c:v>-28</c:v>
                </c:pt>
                <c:pt idx="4">
                  <c:v>-24</c:v>
                </c:pt>
                <c:pt idx="5">
                  <c:v>-20</c:v>
                </c:pt>
                <c:pt idx="6">
                  <c:v>-16</c:v>
                </c:pt>
                <c:pt idx="7">
                  <c:v>-12</c:v>
                </c:pt>
                <c:pt idx="8">
                  <c:v>-8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16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40</c:v>
                </c:pt>
              </c:numCache>
            </c:numRef>
          </c:xVal>
          <c:yVal>
            <c:numRef>
              <c:f>'IR Calibration'!$I$34:$I$54</c:f>
              <c:numCache>
                <c:formatCode>0</c:formatCode>
                <c:ptCount val="21"/>
                <c:pt idx="0">
                  <c:v>30.667468430547203</c:v>
                </c:pt>
                <c:pt idx="1">
                  <c:v>30.066145520144318</c:v>
                </c:pt>
                <c:pt idx="2">
                  <c:v>30.066145520144318</c:v>
                </c:pt>
                <c:pt idx="3">
                  <c:v>29.464822609741429</c:v>
                </c:pt>
                <c:pt idx="4">
                  <c:v>30.066145520144318</c:v>
                </c:pt>
                <c:pt idx="5">
                  <c:v>29.464822609741429</c:v>
                </c:pt>
                <c:pt idx="6">
                  <c:v>29.464822609741429</c:v>
                </c:pt>
                <c:pt idx="7">
                  <c:v>29.464822609741429</c:v>
                </c:pt>
                <c:pt idx="8">
                  <c:v>29.464822609741429</c:v>
                </c:pt>
                <c:pt idx="9">
                  <c:v>30.066145520144318</c:v>
                </c:pt>
                <c:pt idx="10">
                  <c:v>29.464822609741429</c:v>
                </c:pt>
                <c:pt idx="11">
                  <c:v>32.471437161755858</c:v>
                </c:pt>
                <c:pt idx="12">
                  <c:v>43.295249549007814</c:v>
                </c:pt>
                <c:pt idx="13">
                  <c:v>30.066145520144318</c:v>
                </c:pt>
                <c:pt idx="14">
                  <c:v>57.125676488274202</c:v>
                </c:pt>
                <c:pt idx="15">
                  <c:v>280.21647624774505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365.60432952495489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14-274C-B64C-E07F3771F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86327"/>
        <c:axId val="11704838"/>
      </c:scatterChart>
      <c:valAx>
        <c:axId val="5918632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Position (error)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04838"/>
        <c:crosses val="autoZero"/>
        <c:crossBetween val="midCat"/>
      </c:valAx>
      <c:valAx>
        <c:axId val="11704838"/>
        <c:scaling>
          <c:orientation val="minMax"/>
          <c:max val="10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Normalized (0–1000)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8632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176040</xdr:rowOff>
    </xdr:from>
    <xdr:to>
      <xdr:col>21</xdr:col>
      <xdr:colOff>472680</xdr:colOff>
      <xdr:row>21</xdr:row>
      <xdr:rowOff>155880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21</xdr:col>
      <xdr:colOff>473040</xdr:colOff>
      <xdr:row>50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zoomScale="125" zoomScaleNormal="100" workbookViewId="0">
      <pane xSplit="1" ySplit="4" topLeftCell="B21" activePane="bottomRight" state="frozen"/>
      <selection pane="topRight" activeCell="B1" sqref="B1"/>
      <selection pane="bottomLeft" activeCell="A5" sqref="A5"/>
      <selection pane="bottomRight" activeCell="B29" sqref="B29"/>
    </sheetView>
  </sheetViews>
  <sheetFormatPr baseColWidth="10" defaultColWidth="8.6640625" defaultRowHeight="15" x14ac:dyDescent="0.2"/>
  <cols>
    <col min="1" max="1" width="24" customWidth="1"/>
    <col min="2" max="9" width="9" customWidth="1"/>
  </cols>
  <sheetData>
    <row r="1" spans="1:9" ht="15.75" customHeight="1" x14ac:dyDescent="0.2">
      <c r="A1" s="1" t="s">
        <v>0</v>
      </c>
    </row>
    <row r="2" spans="1:9" ht="15" customHeight="1" x14ac:dyDescent="0.2">
      <c r="A2" s="2" t="s">
        <v>1</v>
      </c>
    </row>
    <row r="4" spans="1:9" ht="1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15" customHeight="1" x14ac:dyDescent="0.2">
      <c r="A5" s="4">
        <v>-40</v>
      </c>
      <c r="B5" s="5">
        <v>2500</v>
      </c>
      <c r="C5" s="5">
        <v>726</v>
      </c>
      <c r="D5" s="5">
        <v>680</v>
      </c>
      <c r="E5" s="5">
        <v>680</v>
      </c>
      <c r="F5" s="5">
        <v>703</v>
      </c>
      <c r="G5" s="5">
        <v>703</v>
      </c>
      <c r="H5" s="5">
        <v>762</v>
      </c>
      <c r="I5" s="5">
        <v>888</v>
      </c>
    </row>
    <row r="6" spans="1:9" ht="15" customHeight="1" x14ac:dyDescent="0.2">
      <c r="A6" s="4">
        <v>-36</v>
      </c>
      <c r="B6" s="5">
        <v>2500</v>
      </c>
      <c r="C6" s="5">
        <v>956</v>
      </c>
      <c r="D6" s="5">
        <v>680</v>
      </c>
      <c r="E6" s="5">
        <v>680</v>
      </c>
      <c r="F6" s="5">
        <v>703</v>
      </c>
      <c r="G6" s="5">
        <v>703</v>
      </c>
      <c r="H6" s="5">
        <v>758</v>
      </c>
      <c r="I6" s="5">
        <v>887</v>
      </c>
    </row>
    <row r="7" spans="1:9" ht="15" customHeight="1" x14ac:dyDescent="0.2">
      <c r="A7" s="4">
        <v>-32</v>
      </c>
      <c r="B7" s="5">
        <v>1976</v>
      </c>
      <c r="C7" s="5">
        <v>1814</v>
      </c>
      <c r="D7" s="5">
        <v>680</v>
      </c>
      <c r="E7" s="5">
        <v>680</v>
      </c>
      <c r="F7" s="5">
        <v>703</v>
      </c>
      <c r="G7" s="5">
        <v>703</v>
      </c>
      <c r="H7" s="5">
        <v>767</v>
      </c>
      <c r="I7" s="5">
        <v>887</v>
      </c>
    </row>
    <row r="8" spans="1:9" ht="15" customHeight="1" x14ac:dyDescent="0.2">
      <c r="A8" s="4">
        <v>-28</v>
      </c>
      <c r="B8" s="5">
        <v>979</v>
      </c>
      <c r="C8" s="5">
        <v>2500</v>
      </c>
      <c r="D8" s="5">
        <v>886</v>
      </c>
      <c r="E8" s="5">
        <v>657</v>
      </c>
      <c r="F8" s="5">
        <v>703</v>
      </c>
      <c r="G8" s="5">
        <v>703</v>
      </c>
      <c r="H8" s="5">
        <v>771</v>
      </c>
      <c r="I8" s="5">
        <v>886</v>
      </c>
    </row>
    <row r="9" spans="1:9" ht="15" customHeight="1" x14ac:dyDescent="0.2">
      <c r="A9" s="4">
        <v>-24</v>
      </c>
      <c r="B9" s="5">
        <v>818</v>
      </c>
      <c r="C9" s="5">
        <v>2071</v>
      </c>
      <c r="D9" s="5">
        <v>1373</v>
      </c>
      <c r="E9" s="5">
        <v>658</v>
      </c>
      <c r="F9" s="5">
        <v>703</v>
      </c>
      <c r="G9" s="5">
        <v>703</v>
      </c>
      <c r="H9" s="5">
        <v>772</v>
      </c>
      <c r="I9" s="5">
        <v>887</v>
      </c>
    </row>
    <row r="10" spans="1:9" ht="15" customHeight="1" x14ac:dyDescent="0.2">
      <c r="A10" s="4">
        <v>-20</v>
      </c>
      <c r="B10" s="5">
        <v>853</v>
      </c>
      <c r="C10" s="5">
        <v>1117</v>
      </c>
      <c r="D10" s="5">
        <v>2500</v>
      </c>
      <c r="E10" s="5">
        <v>771</v>
      </c>
      <c r="F10" s="5">
        <v>702</v>
      </c>
      <c r="G10" s="5">
        <v>702</v>
      </c>
      <c r="H10" s="5">
        <v>771</v>
      </c>
      <c r="I10" s="5">
        <v>886</v>
      </c>
    </row>
    <row r="11" spans="1:9" ht="15" customHeight="1" x14ac:dyDescent="0.2">
      <c r="A11" s="4">
        <v>-16</v>
      </c>
      <c r="B11" s="5">
        <v>863</v>
      </c>
      <c r="C11" s="5">
        <v>725</v>
      </c>
      <c r="D11" s="5">
        <v>2500</v>
      </c>
      <c r="E11" s="5">
        <v>1141</v>
      </c>
      <c r="F11" s="5">
        <v>653</v>
      </c>
      <c r="G11" s="5">
        <v>702</v>
      </c>
      <c r="H11" s="5">
        <v>771</v>
      </c>
      <c r="I11" s="5">
        <v>886</v>
      </c>
    </row>
    <row r="12" spans="1:9" ht="15" customHeight="1" x14ac:dyDescent="0.2">
      <c r="A12" s="4">
        <v>-12</v>
      </c>
      <c r="B12" s="5">
        <v>863</v>
      </c>
      <c r="C12" s="5">
        <v>721</v>
      </c>
      <c r="D12" s="5">
        <v>1373</v>
      </c>
      <c r="E12" s="5">
        <v>1815</v>
      </c>
      <c r="F12" s="5">
        <v>644</v>
      </c>
      <c r="G12" s="5">
        <v>703</v>
      </c>
      <c r="H12" s="5">
        <v>771</v>
      </c>
      <c r="I12" s="5">
        <v>886</v>
      </c>
    </row>
    <row r="13" spans="1:9" ht="15" customHeight="1" x14ac:dyDescent="0.2">
      <c r="A13" s="4">
        <v>-8</v>
      </c>
      <c r="B13" s="5">
        <v>863</v>
      </c>
      <c r="C13" s="5">
        <v>748</v>
      </c>
      <c r="D13" s="5">
        <v>711</v>
      </c>
      <c r="E13" s="5">
        <v>1802</v>
      </c>
      <c r="F13" s="5">
        <v>890</v>
      </c>
      <c r="G13" s="5">
        <v>702</v>
      </c>
      <c r="H13" s="5">
        <v>771</v>
      </c>
      <c r="I13" s="5">
        <v>886</v>
      </c>
    </row>
    <row r="14" spans="1:9" ht="15" customHeight="1" x14ac:dyDescent="0.2">
      <c r="A14" s="4">
        <v>-4</v>
      </c>
      <c r="B14" s="5">
        <v>864</v>
      </c>
      <c r="C14" s="5">
        <v>726</v>
      </c>
      <c r="D14" s="5">
        <v>612</v>
      </c>
      <c r="E14" s="5">
        <v>1234</v>
      </c>
      <c r="F14" s="5">
        <v>1351</v>
      </c>
      <c r="G14" s="5">
        <v>703</v>
      </c>
      <c r="H14" s="5">
        <v>772</v>
      </c>
      <c r="I14" s="5">
        <v>887</v>
      </c>
    </row>
    <row r="15" spans="1:9" ht="15" customHeight="1" x14ac:dyDescent="0.2">
      <c r="A15" s="4">
        <v>0</v>
      </c>
      <c r="B15" s="5">
        <v>863</v>
      </c>
      <c r="C15" s="5">
        <v>725</v>
      </c>
      <c r="D15" s="5">
        <v>657</v>
      </c>
      <c r="E15" s="5">
        <v>794</v>
      </c>
      <c r="F15" s="5">
        <v>2048</v>
      </c>
      <c r="G15" s="5">
        <v>817</v>
      </c>
      <c r="H15" s="5">
        <v>771</v>
      </c>
      <c r="I15" s="5">
        <v>886</v>
      </c>
    </row>
    <row r="16" spans="1:9" ht="15" customHeight="1" x14ac:dyDescent="0.2">
      <c r="A16" s="4">
        <v>4</v>
      </c>
      <c r="B16" s="5">
        <v>864</v>
      </c>
      <c r="C16" s="5">
        <v>726</v>
      </c>
      <c r="D16" s="5">
        <v>680</v>
      </c>
      <c r="E16" s="5">
        <v>635</v>
      </c>
      <c r="F16" s="5">
        <v>1746</v>
      </c>
      <c r="G16" s="5">
        <v>1248</v>
      </c>
      <c r="H16" s="5">
        <v>749</v>
      </c>
      <c r="I16" s="5">
        <v>891</v>
      </c>
    </row>
    <row r="17" spans="1:9" ht="15" customHeight="1" x14ac:dyDescent="0.2">
      <c r="A17" s="4">
        <v>8</v>
      </c>
      <c r="B17" s="5">
        <v>863</v>
      </c>
      <c r="C17" s="5">
        <v>726</v>
      </c>
      <c r="D17" s="5">
        <v>680</v>
      </c>
      <c r="E17" s="5">
        <v>657</v>
      </c>
      <c r="F17" s="5">
        <v>1025</v>
      </c>
      <c r="G17" s="5">
        <v>1876</v>
      </c>
      <c r="H17" s="5">
        <v>817</v>
      </c>
      <c r="I17" s="5">
        <v>909</v>
      </c>
    </row>
    <row r="18" spans="1:9" ht="15" customHeight="1" x14ac:dyDescent="0.2">
      <c r="A18" s="4">
        <v>12</v>
      </c>
      <c r="B18" s="5">
        <v>864</v>
      </c>
      <c r="C18" s="5">
        <v>726</v>
      </c>
      <c r="D18" s="5">
        <v>680</v>
      </c>
      <c r="E18" s="5">
        <v>657</v>
      </c>
      <c r="F18" s="5">
        <v>657</v>
      </c>
      <c r="G18" s="5">
        <v>1978</v>
      </c>
      <c r="H18" s="5">
        <v>1197</v>
      </c>
      <c r="I18" s="5">
        <v>887</v>
      </c>
    </row>
    <row r="19" spans="1:9" ht="15" customHeight="1" x14ac:dyDescent="0.2">
      <c r="A19" s="4">
        <v>16</v>
      </c>
      <c r="B19" s="5">
        <v>863</v>
      </c>
      <c r="C19" s="5">
        <v>726</v>
      </c>
      <c r="D19" s="5">
        <v>680</v>
      </c>
      <c r="E19" s="5">
        <v>680</v>
      </c>
      <c r="F19" s="5">
        <v>703</v>
      </c>
      <c r="G19" s="5">
        <v>1187</v>
      </c>
      <c r="H19" s="5">
        <v>2500</v>
      </c>
      <c r="I19" s="5">
        <v>932</v>
      </c>
    </row>
    <row r="20" spans="1:9" ht="15" customHeight="1" x14ac:dyDescent="0.2">
      <c r="A20" s="4">
        <v>20</v>
      </c>
      <c r="B20" s="5">
        <v>864</v>
      </c>
      <c r="C20" s="5">
        <v>726</v>
      </c>
      <c r="D20" s="5">
        <v>680</v>
      </c>
      <c r="E20" s="5">
        <v>657</v>
      </c>
      <c r="F20" s="5">
        <v>703</v>
      </c>
      <c r="G20" s="5">
        <v>817</v>
      </c>
      <c r="H20" s="5">
        <v>2500</v>
      </c>
      <c r="I20" s="5">
        <v>1303</v>
      </c>
    </row>
    <row r="21" spans="1:9" ht="15" customHeight="1" x14ac:dyDescent="0.2">
      <c r="A21" s="4">
        <v>24</v>
      </c>
      <c r="B21" s="5">
        <v>864</v>
      </c>
      <c r="C21" s="5">
        <v>726</v>
      </c>
      <c r="D21" s="5">
        <v>680</v>
      </c>
      <c r="E21" s="5">
        <v>657</v>
      </c>
      <c r="F21" s="5">
        <v>703</v>
      </c>
      <c r="G21" s="5">
        <v>703</v>
      </c>
      <c r="H21" s="5">
        <v>1743</v>
      </c>
      <c r="I21" s="5">
        <v>2500</v>
      </c>
    </row>
    <row r="22" spans="1:9" ht="15" customHeight="1" x14ac:dyDescent="0.2">
      <c r="A22" s="4">
        <v>28</v>
      </c>
      <c r="B22" s="5">
        <v>864</v>
      </c>
      <c r="C22" s="5">
        <v>726</v>
      </c>
      <c r="D22" s="5">
        <v>680</v>
      </c>
      <c r="E22" s="5">
        <v>657</v>
      </c>
      <c r="F22" s="5">
        <v>703</v>
      </c>
      <c r="G22" s="5">
        <v>726</v>
      </c>
      <c r="H22" s="5">
        <v>1049</v>
      </c>
      <c r="I22" s="5">
        <v>2500</v>
      </c>
    </row>
    <row r="23" spans="1:9" ht="15" customHeight="1" x14ac:dyDescent="0.2">
      <c r="A23" s="4">
        <v>32</v>
      </c>
      <c r="B23" s="5">
        <v>865</v>
      </c>
      <c r="C23" s="5">
        <v>726</v>
      </c>
      <c r="D23" s="5">
        <v>680</v>
      </c>
      <c r="E23" s="5">
        <v>657</v>
      </c>
      <c r="F23" s="5">
        <v>703</v>
      </c>
      <c r="G23" s="5">
        <v>726</v>
      </c>
      <c r="H23" s="5">
        <v>703</v>
      </c>
      <c r="I23" s="5">
        <v>2500</v>
      </c>
    </row>
    <row r="24" spans="1:9" ht="15" customHeight="1" x14ac:dyDescent="0.2">
      <c r="A24" s="4">
        <v>36</v>
      </c>
      <c r="B24" s="5">
        <v>864</v>
      </c>
      <c r="C24" s="5">
        <v>726</v>
      </c>
      <c r="D24" s="5">
        <v>680</v>
      </c>
      <c r="E24" s="5">
        <v>657</v>
      </c>
      <c r="F24" s="5">
        <v>703</v>
      </c>
      <c r="G24" s="5">
        <v>703</v>
      </c>
      <c r="H24" s="5">
        <v>726</v>
      </c>
      <c r="I24" s="5">
        <v>1445</v>
      </c>
    </row>
    <row r="25" spans="1:9" ht="15" customHeight="1" x14ac:dyDescent="0.2">
      <c r="A25" s="4">
        <v>40</v>
      </c>
      <c r="B25" s="5">
        <v>865</v>
      </c>
      <c r="C25" s="5">
        <v>726</v>
      </c>
      <c r="D25" s="5">
        <v>680</v>
      </c>
      <c r="E25" s="5">
        <v>657</v>
      </c>
      <c r="F25" s="5">
        <v>703</v>
      </c>
      <c r="G25" s="5">
        <v>703</v>
      </c>
      <c r="H25" s="5">
        <v>749</v>
      </c>
      <c r="I25" s="5">
        <v>837</v>
      </c>
    </row>
    <row r="27" spans="1:9" ht="15" customHeight="1" x14ac:dyDescent="0.2">
      <c r="A27" s="6" t="s">
        <v>11</v>
      </c>
      <c r="B27" s="7">
        <f t="shared" ref="B27:I27" si="0">MIN(B5:B25)</f>
        <v>818</v>
      </c>
      <c r="C27" s="7">
        <f t="shared" si="0"/>
        <v>721</v>
      </c>
      <c r="D27" s="7">
        <f t="shared" si="0"/>
        <v>612</v>
      </c>
      <c r="E27" s="7">
        <f t="shared" si="0"/>
        <v>635</v>
      </c>
      <c r="F27" s="7">
        <f t="shared" si="0"/>
        <v>644</v>
      </c>
      <c r="G27" s="7">
        <f t="shared" si="0"/>
        <v>702</v>
      </c>
      <c r="H27" s="7">
        <f t="shared" si="0"/>
        <v>703</v>
      </c>
      <c r="I27" s="7">
        <f t="shared" si="0"/>
        <v>837</v>
      </c>
    </row>
    <row r="28" spans="1:9" ht="15" customHeight="1" x14ac:dyDescent="0.2">
      <c r="A28" s="6" t="s">
        <v>12</v>
      </c>
      <c r="B28" s="7">
        <f t="shared" ref="B28:I28" si="1">MAX(B5:B25)</f>
        <v>2500</v>
      </c>
      <c r="C28" s="7">
        <f t="shared" si="1"/>
        <v>2500</v>
      </c>
      <c r="D28" s="7">
        <f t="shared" si="1"/>
        <v>2500</v>
      </c>
      <c r="E28" s="7">
        <f t="shared" si="1"/>
        <v>1815</v>
      </c>
      <c r="F28" s="7">
        <f t="shared" si="1"/>
        <v>2048</v>
      </c>
      <c r="G28" s="7">
        <f t="shared" si="1"/>
        <v>1978</v>
      </c>
      <c r="H28" s="7">
        <f t="shared" si="1"/>
        <v>2500</v>
      </c>
      <c r="I28" s="7">
        <f t="shared" si="1"/>
        <v>2500</v>
      </c>
    </row>
    <row r="29" spans="1:9" ht="15" customHeight="1" x14ac:dyDescent="0.2">
      <c r="A29" s="6" t="s">
        <v>13</v>
      </c>
      <c r="B29" s="8">
        <f t="shared" ref="B29:I29" si="2">B28-B27</f>
        <v>1682</v>
      </c>
      <c r="C29" s="8">
        <f t="shared" si="2"/>
        <v>1779</v>
      </c>
      <c r="D29" s="8">
        <f t="shared" si="2"/>
        <v>1888</v>
      </c>
      <c r="E29" s="8">
        <f t="shared" si="2"/>
        <v>1180</v>
      </c>
      <c r="F29" s="8">
        <f t="shared" si="2"/>
        <v>1404</v>
      </c>
      <c r="G29" s="8">
        <f t="shared" si="2"/>
        <v>1276</v>
      </c>
      <c r="H29" s="8">
        <f t="shared" si="2"/>
        <v>1797</v>
      </c>
      <c r="I29" s="8">
        <f t="shared" si="2"/>
        <v>1663</v>
      </c>
    </row>
    <row r="30" spans="1:9" x14ac:dyDescent="0.2">
      <c r="A30" s="6" t="s">
        <v>14</v>
      </c>
      <c r="B30" s="9">
        <f t="shared" ref="B30:I30" si="3">1000/B29</f>
        <v>0.59453032104637338</v>
      </c>
      <c r="C30" s="9">
        <f t="shared" si="3"/>
        <v>0.56211354693648119</v>
      </c>
      <c r="D30" s="9">
        <f t="shared" si="3"/>
        <v>0.52966101694915257</v>
      </c>
      <c r="E30" s="9">
        <f t="shared" si="3"/>
        <v>0.84745762711864403</v>
      </c>
      <c r="F30" s="9">
        <f t="shared" si="3"/>
        <v>0.71225071225071224</v>
      </c>
      <c r="G30" s="9">
        <f t="shared" si="3"/>
        <v>0.78369905956112851</v>
      </c>
      <c r="H30" s="9">
        <f t="shared" si="3"/>
        <v>0.5564830272676683</v>
      </c>
      <c r="I30" s="9">
        <f t="shared" si="3"/>
        <v>0.60132291040288632</v>
      </c>
    </row>
    <row r="32" spans="1:9" ht="16" x14ac:dyDescent="0.2">
      <c r="A32" s="10" t="s">
        <v>15</v>
      </c>
    </row>
    <row r="33" spans="1:9" x14ac:dyDescent="0.2">
      <c r="A33" s="3" t="s">
        <v>2</v>
      </c>
      <c r="B33" s="3" t="s">
        <v>3</v>
      </c>
      <c r="C33" s="3" t="s">
        <v>4</v>
      </c>
      <c r="D33" s="3" t="s">
        <v>5</v>
      </c>
      <c r="E33" s="3" t="s">
        <v>6</v>
      </c>
      <c r="F33" s="3" t="s">
        <v>7</v>
      </c>
      <c r="G33" s="3" t="s">
        <v>8</v>
      </c>
      <c r="H33" s="3" t="s">
        <v>9</v>
      </c>
      <c r="I33" s="3" t="s">
        <v>10</v>
      </c>
    </row>
    <row r="34" spans="1:9" x14ac:dyDescent="0.2">
      <c r="A34" s="11">
        <f t="shared" ref="A34:A54" si="4">A5</f>
        <v>-40</v>
      </c>
      <c r="B34" s="12">
        <f t="shared" ref="B34:I43" si="5">(B5-B$27)*B$30</f>
        <v>1000</v>
      </c>
      <c r="C34" s="12">
        <f t="shared" si="5"/>
        <v>2.8105677346824058</v>
      </c>
      <c r="D34" s="12">
        <f t="shared" si="5"/>
        <v>36.016949152542374</v>
      </c>
      <c r="E34" s="12">
        <f t="shared" si="5"/>
        <v>38.135593220338983</v>
      </c>
      <c r="F34" s="12">
        <f t="shared" si="5"/>
        <v>42.022792022792025</v>
      </c>
      <c r="G34" s="12">
        <f t="shared" si="5"/>
        <v>0.78369905956112851</v>
      </c>
      <c r="H34" s="12">
        <f t="shared" si="5"/>
        <v>32.832498608792427</v>
      </c>
      <c r="I34" s="12">
        <f t="shared" si="5"/>
        <v>30.667468430547203</v>
      </c>
    </row>
    <row r="35" spans="1:9" x14ac:dyDescent="0.2">
      <c r="A35" s="11">
        <f t="shared" si="4"/>
        <v>-36</v>
      </c>
      <c r="B35" s="12">
        <f t="shared" si="5"/>
        <v>1000</v>
      </c>
      <c r="C35" s="12">
        <f t="shared" si="5"/>
        <v>132.09668353007308</v>
      </c>
      <c r="D35" s="12">
        <f t="shared" si="5"/>
        <v>36.016949152542374</v>
      </c>
      <c r="E35" s="12">
        <f t="shared" si="5"/>
        <v>38.135593220338983</v>
      </c>
      <c r="F35" s="12">
        <f t="shared" si="5"/>
        <v>42.022792022792025</v>
      </c>
      <c r="G35" s="12">
        <f t="shared" si="5"/>
        <v>0.78369905956112851</v>
      </c>
      <c r="H35" s="12">
        <f t="shared" si="5"/>
        <v>30.606566499721755</v>
      </c>
      <c r="I35" s="12">
        <f t="shared" si="5"/>
        <v>30.066145520144318</v>
      </c>
    </row>
    <row r="36" spans="1:9" x14ac:dyDescent="0.2">
      <c r="A36" s="11">
        <f t="shared" si="4"/>
        <v>-32</v>
      </c>
      <c r="B36" s="12">
        <f t="shared" si="5"/>
        <v>688.46611177170041</v>
      </c>
      <c r="C36" s="12">
        <f t="shared" si="5"/>
        <v>614.39010680157389</v>
      </c>
      <c r="D36" s="12">
        <f t="shared" si="5"/>
        <v>36.016949152542374</v>
      </c>
      <c r="E36" s="12">
        <f t="shared" si="5"/>
        <v>38.135593220338983</v>
      </c>
      <c r="F36" s="12">
        <f t="shared" si="5"/>
        <v>42.022792022792025</v>
      </c>
      <c r="G36" s="12">
        <f t="shared" si="5"/>
        <v>0.78369905956112851</v>
      </c>
      <c r="H36" s="12">
        <f t="shared" si="5"/>
        <v>35.614913745130771</v>
      </c>
      <c r="I36" s="12">
        <f t="shared" si="5"/>
        <v>30.066145520144318</v>
      </c>
    </row>
    <row r="37" spans="1:9" x14ac:dyDescent="0.2">
      <c r="A37" s="11">
        <f t="shared" si="4"/>
        <v>-28</v>
      </c>
      <c r="B37" s="12">
        <f t="shared" si="5"/>
        <v>95.719381688466115</v>
      </c>
      <c r="C37" s="12">
        <f t="shared" si="5"/>
        <v>1000</v>
      </c>
      <c r="D37" s="12">
        <f t="shared" si="5"/>
        <v>145.12711864406779</v>
      </c>
      <c r="E37" s="12">
        <f t="shared" si="5"/>
        <v>18.64406779661017</v>
      </c>
      <c r="F37" s="12">
        <f t="shared" si="5"/>
        <v>42.022792022792025</v>
      </c>
      <c r="G37" s="12">
        <f t="shared" si="5"/>
        <v>0.78369905956112851</v>
      </c>
      <c r="H37" s="12">
        <f t="shared" si="5"/>
        <v>37.840845854201447</v>
      </c>
      <c r="I37" s="12">
        <f t="shared" si="5"/>
        <v>29.464822609741429</v>
      </c>
    </row>
    <row r="38" spans="1:9" x14ac:dyDescent="0.2">
      <c r="A38" s="11">
        <f t="shared" si="4"/>
        <v>-24</v>
      </c>
      <c r="B38" s="12">
        <f t="shared" si="5"/>
        <v>0</v>
      </c>
      <c r="C38" s="12">
        <f t="shared" si="5"/>
        <v>758.85328836424958</v>
      </c>
      <c r="D38" s="12">
        <f t="shared" si="5"/>
        <v>403.07203389830511</v>
      </c>
      <c r="E38" s="12">
        <f t="shared" si="5"/>
        <v>19.491525423728813</v>
      </c>
      <c r="F38" s="12">
        <f t="shared" si="5"/>
        <v>42.022792022792025</v>
      </c>
      <c r="G38" s="12">
        <f t="shared" si="5"/>
        <v>0.78369905956112851</v>
      </c>
      <c r="H38" s="12">
        <f t="shared" si="5"/>
        <v>38.397328881469114</v>
      </c>
      <c r="I38" s="12">
        <f t="shared" si="5"/>
        <v>30.066145520144318</v>
      </c>
    </row>
    <row r="39" spans="1:9" x14ac:dyDescent="0.2">
      <c r="A39" s="11">
        <f t="shared" si="4"/>
        <v>-20</v>
      </c>
      <c r="B39" s="12">
        <f t="shared" si="5"/>
        <v>20.808561236623067</v>
      </c>
      <c r="C39" s="12">
        <f t="shared" si="5"/>
        <v>222.59696458684655</v>
      </c>
      <c r="D39" s="12">
        <f t="shared" si="5"/>
        <v>1000.0000000000001</v>
      </c>
      <c r="E39" s="12">
        <f t="shared" si="5"/>
        <v>115.25423728813558</v>
      </c>
      <c r="F39" s="12">
        <f t="shared" si="5"/>
        <v>41.310541310541311</v>
      </c>
      <c r="G39" s="12">
        <f t="shared" si="5"/>
        <v>0</v>
      </c>
      <c r="H39" s="12">
        <f t="shared" si="5"/>
        <v>37.840845854201447</v>
      </c>
      <c r="I39" s="12">
        <f t="shared" si="5"/>
        <v>29.464822609741429</v>
      </c>
    </row>
    <row r="40" spans="1:9" x14ac:dyDescent="0.2">
      <c r="A40" s="11">
        <f t="shared" si="4"/>
        <v>-16</v>
      </c>
      <c r="B40" s="12">
        <f t="shared" si="5"/>
        <v>26.753864447086801</v>
      </c>
      <c r="C40" s="12">
        <f t="shared" si="5"/>
        <v>2.2484541877459248</v>
      </c>
      <c r="D40" s="12">
        <f t="shared" si="5"/>
        <v>1000.0000000000001</v>
      </c>
      <c r="E40" s="12">
        <f t="shared" si="5"/>
        <v>428.81355932203388</v>
      </c>
      <c r="F40" s="12">
        <f t="shared" si="5"/>
        <v>6.4102564102564106</v>
      </c>
      <c r="G40" s="12">
        <f t="shared" si="5"/>
        <v>0</v>
      </c>
      <c r="H40" s="12">
        <f t="shared" si="5"/>
        <v>37.840845854201447</v>
      </c>
      <c r="I40" s="12">
        <f t="shared" si="5"/>
        <v>29.464822609741429</v>
      </c>
    </row>
    <row r="41" spans="1:9" x14ac:dyDescent="0.2">
      <c r="A41" s="11">
        <f t="shared" si="4"/>
        <v>-12</v>
      </c>
      <c r="B41" s="12">
        <f t="shared" si="5"/>
        <v>26.753864447086801</v>
      </c>
      <c r="C41" s="12">
        <f t="shared" si="5"/>
        <v>0</v>
      </c>
      <c r="D41" s="12">
        <f t="shared" si="5"/>
        <v>403.07203389830511</v>
      </c>
      <c r="E41" s="12">
        <f t="shared" si="5"/>
        <v>1000</v>
      </c>
      <c r="F41" s="12">
        <f t="shared" si="5"/>
        <v>0</v>
      </c>
      <c r="G41" s="12">
        <f t="shared" si="5"/>
        <v>0.78369905956112851</v>
      </c>
      <c r="H41" s="12">
        <f t="shared" si="5"/>
        <v>37.840845854201447</v>
      </c>
      <c r="I41" s="12">
        <f t="shared" si="5"/>
        <v>29.464822609741429</v>
      </c>
    </row>
    <row r="42" spans="1:9" x14ac:dyDescent="0.2">
      <c r="A42" s="11">
        <f t="shared" si="4"/>
        <v>-8</v>
      </c>
      <c r="B42" s="12">
        <f t="shared" si="5"/>
        <v>26.753864447086801</v>
      </c>
      <c r="C42" s="12">
        <f t="shared" si="5"/>
        <v>15.177065767284992</v>
      </c>
      <c r="D42" s="12">
        <f t="shared" si="5"/>
        <v>52.436440677966104</v>
      </c>
      <c r="E42" s="12">
        <f t="shared" si="5"/>
        <v>988.98305084745755</v>
      </c>
      <c r="F42" s="12">
        <f t="shared" si="5"/>
        <v>175.2136752136752</v>
      </c>
      <c r="G42" s="12">
        <f t="shared" si="5"/>
        <v>0</v>
      </c>
      <c r="H42" s="12">
        <f t="shared" si="5"/>
        <v>37.840845854201447</v>
      </c>
      <c r="I42" s="12">
        <f t="shared" si="5"/>
        <v>29.464822609741429</v>
      </c>
    </row>
    <row r="43" spans="1:9" x14ac:dyDescent="0.2">
      <c r="A43" s="11">
        <f t="shared" si="4"/>
        <v>-4</v>
      </c>
      <c r="B43" s="12">
        <f t="shared" si="5"/>
        <v>27.348394768133176</v>
      </c>
      <c r="C43" s="12">
        <f t="shared" si="5"/>
        <v>2.8105677346824058</v>
      </c>
      <c r="D43" s="12">
        <f t="shared" si="5"/>
        <v>0</v>
      </c>
      <c r="E43" s="12">
        <f t="shared" si="5"/>
        <v>507.62711864406776</v>
      </c>
      <c r="F43" s="12">
        <f t="shared" si="5"/>
        <v>503.56125356125358</v>
      </c>
      <c r="G43" s="12">
        <f t="shared" si="5"/>
        <v>0.78369905956112851</v>
      </c>
      <c r="H43" s="12">
        <f t="shared" si="5"/>
        <v>38.397328881469114</v>
      </c>
      <c r="I43" s="12">
        <f t="shared" si="5"/>
        <v>30.066145520144318</v>
      </c>
    </row>
    <row r="44" spans="1:9" x14ac:dyDescent="0.2">
      <c r="A44" s="11">
        <f t="shared" si="4"/>
        <v>0</v>
      </c>
      <c r="B44" s="12">
        <f t="shared" ref="B44:I53" si="6">(B15-B$27)*B$30</f>
        <v>26.753864447086801</v>
      </c>
      <c r="C44" s="12">
        <f t="shared" si="6"/>
        <v>2.2484541877459248</v>
      </c>
      <c r="D44" s="12">
        <f t="shared" si="6"/>
        <v>23.834745762711865</v>
      </c>
      <c r="E44" s="12">
        <f t="shared" si="6"/>
        <v>134.74576271186439</v>
      </c>
      <c r="F44" s="12">
        <f t="shared" si="6"/>
        <v>1000</v>
      </c>
      <c r="G44" s="12">
        <f t="shared" si="6"/>
        <v>90.125391849529777</v>
      </c>
      <c r="H44" s="12">
        <f t="shared" si="6"/>
        <v>37.840845854201447</v>
      </c>
      <c r="I44" s="12">
        <f t="shared" si="6"/>
        <v>29.464822609741429</v>
      </c>
    </row>
    <row r="45" spans="1:9" x14ac:dyDescent="0.2">
      <c r="A45" s="11">
        <f t="shared" si="4"/>
        <v>4</v>
      </c>
      <c r="B45" s="12">
        <f t="shared" si="6"/>
        <v>27.348394768133176</v>
      </c>
      <c r="C45" s="12">
        <f t="shared" si="6"/>
        <v>2.8105677346824058</v>
      </c>
      <c r="D45" s="12">
        <f t="shared" si="6"/>
        <v>36.016949152542374</v>
      </c>
      <c r="E45" s="12">
        <f t="shared" si="6"/>
        <v>0</v>
      </c>
      <c r="F45" s="12">
        <f t="shared" si="6"/>
        <v>784.90028490028487</v>
      </c>
      <c r="G45" s="12">
        <f t="shared" si="6"/>
        <v>427.89968652037618</v>
      </c>
      <c r="H45" s="12">
        <f t="shared" si="6"/>
        <v>25.598219254312742</v>
      </c>
      <c r="I45" s="12">
        <f t="shared" si="6"/>
        <v>32.471437161755858</v>
      </c>
    </row>
    <row r="46" spans="1:9" x14ac:dyDescent="0.2">
      <c r="A46" s="11">
        <f t="shared" si="4"/>
        <v>8</v>
      </c>
      <c r="B46" s="12">
        <f t="shared" si="6"/>
        <v>26.753864447086801</v>
      </c>
      <c r="C46" s="12">
        <f t="shared" si="6"/>
        <v>2.8105677346824058</v>
      </c>
      <c r="D46" s="12">
        <f t="shared" si="6"/>
        <v>36.016949152542374</v>
      </c>
      <c r="E46" s="12">
        <f t="shared" si="6"/>
        <v>18.64406779661017</v>
      </c>
      <c r="F46" s="12">
        <f t="shared" si="6"/>
        <v>271.36752136752136</v>
      </c>
      <c r="G46" s="12">
        <f t="shared" si="6"/>
        <v>920.06269592476485</v>
      </c>
      <c r="H46" s="12">
        <f t="shared" si="6"/>
        <v>63.439065108514185</v>
      </c>
      <c r="I46" s="12">
        <f t="shared" si="6"/>
        <v>43.295249549007814</v>
      </c>
    </row>
    <row r="47" spans="1:9" x14ac:dyDescent="0.2">
      <c r="A47" s="11">
        <f t="shared" si="4"/>
        <v>12</v>
      </c>
      <c r="B47" s="12">
        <f t="shared" si="6"/>
        <v>27.348394768133176</v>
      </c>
      <c r="C47" s="12">
        <f t="shared" si="6"/>
        <v>2.8105677346824058</v>
      </c>
      <c r="D47" s="12">
        <f t="shared" si="6"/>
        <v>36.016949152542374</v>
      </c>
      <c r="E47" s="12">
        <f t="shared" si="6"/>
        <v>18.64406779661017</v>
      </c>
      <c r="F47" s="12">
        <f t="shared" si="6"/>
        <v>9.2592592592592595</v>
      </c>
      <c r="G47" s="12">
        <f t="shared" si="6"/>
        <v>1000</v>
      </c>
      <c r="H47" s="12">
        <f t="shared" si="6"/>
        <v>274.90261547022811</v>
      </c>
      <c r="I47" s="12">
        <f t="shared" si="6"/>
        <v>30.066145520144318</v>
      </c>
    </row>
    <row r="48" spans="1:9" x14ac:dyDescent="0.2">
      <c r="A48" s="11">
        <f t="shared" si="4"/>
        <v>16</v>
      </c>
      <c r="B48" s="12">
        <f t="shared" si="6"/>
        <v>26.753864447086801</v>
      </c>
      <c r="C48" s="12">
        <f t="shared" si="6"/>
        <v>2.8105677346824058</v>
      </c>
      <c r="D48" s="12">
        <f t="shared" si="6"/>
        <v>36.016949152542374</v>
      </c>
      <c r="E48" s="12">
        <f t="shared" si="6"/>
        <v>38.135593220338983</v>
      </c>
      <c r="F48" s="12">
        <f t="shared" si="6"/>
        <v>42.022792022792025</v>
      </c>
      <c r="G48" s="12">
        <f t="shared" si="6"/>
        <v>380.09404388714734</v>
      </c>
      <c r="H48" s="12">
        <f t="shared" si="6"/>
        <v>999.99999999999989</v>
      </c>
      <c r="I48" s="12">
        <f t="shared" si="6"/>
        <v>57.125676488274202</v>
      </c>
    </row>
    <row r="49" spans="1:9" x14ac:dyDescent="0.2">
      <c r="A49" s="11">
        <f t="shared" si="4"/>
        <v>20</v>
      </c>
      <c r="B49" s="12">
        <f t="shared" si="6"/>
        <v>27.348394768133176</v>
      </c>
      <c r="C49" s="12">
        <f t="shared" si="6"/>
        <v>2.8105677346824058</v>
      </c>
      <c r="D49" s="12">
        <f t="shared" si="6"/>
        <v>36.016949152542374</v>
      </c>
      <c r="E49" s="12">
        <f t="shared" si="6"/>
        <v>18.64406779661017</v>
      </c>
      <c r="F49" s="12">
        <f t="shared" si="6"/>
        <v>42.022792022792025</v>
      </c>
      <c r="G49" s="12">
        <f t="shared" si="6"/>
        <v>90.125391849529777</v>
      </c>
      <c r="H49" s="12">
        <f t="shared" si="6"/>
        <v>999.99999999999989</v>
      </c>
      <c r="I49" s="12">
        <f t="shared" si="6"/>
        <v>280.21647624774505</v>
      </c>
    </row>
    <row r="50" spans="1:9" x14ac:dyDescent="0.2">
      <c r="A50" s="11">
        <f t="shared" si="4"/>
        <v>24</v>
      </c>
      <c r="B50" s="12">
        <f t="shared" si="6"/>
        <v>27.348394768133176</v>
      </c>
      <c r="C50" s="12">
        <f t="shared" si="6"/>
        <v>2.8105677346824058</v>
      </c>
      <c r="D50" s="12">
        <f t="shared" si="6"/>
        <v>36.016949152542374</v>
      </c>
      <c r="E50" s="12">
        <f t="shared" si="6"/>
        <v>18.64406779661017</v>
      </c>
      <c r="F50" s="12">
        <f t="shared" si="6"/>
        <v>42.022792022792025</v>
      </c>
      <c r="G50" s="12">
        <f t="shared" si="6"/>
        <v>0.78369905956112851</v>
      </c>
      <c r="H50" s="12">
        <f t="shared" si="6"/>
        <v>578.74234835837501</v>
      </c>
      <c r="I50" s="12">
        <f t="shared" si="6"/>
        <v>1000</v>
      </c>
    </row>
    <row r="51" spans="1:9" x14ac:dyDescent="0.2">
      <c r="A51" s="11">
        <f t="shared" si="4"/>
        <v>28</v>
      </c>
      <c r="B51" s="12">
        <f t="shared" si="6"/>
        <v>27.348394768133176</v>
      </c>
      <c r="C51" s="12">
        <f t="shared" si="6"/>
        <v>2.8105677346824058</v>
      </c>
      <c r="D51" s="12">
        <f t="shared" si="6"/>
        <v>36.016949152542374</v>
      </c>
      <c r="E51" s="12">
        <f t="shared" si="6"/>
        <v>18.64406779661017</v>
      </c>
      <c r="F51" s="12">
        <f t="shared" si="6"/>
        <v>42.022792022792025</v>
      </c>
      <c r="G51" s="12">
        <f t="shared" si="6"/>
        <v>18.808777429467085</v>
      </c>
      <c r="H51" s="12">
        <f t="shared" si="6"/>
        <v>192.54312743461324</v>
      </c>
      <c r="I51" s="12">
        <f t="shared" si="6"/>
        <v>1000</v>
      </c>
    </row>
    <row r="52" spans="1:9" x14ac:dyDescent="0.2">
      <c r="A52" s="11">
        <f t="shared" si="4"/>
        <v>32</v>
      </c>
      <c r="B52" s="12">
        <f t="shared" si="6"/>
        <v>27.94292508917955</v>
      </c>
      <c r="C52" s="12">
        <f t="shared" si="6"/>
        <v>2.8105677346824058</v>
      </c>
      <c r="D52" s="12">
        <f t="shared" si="6"/>
        <v>36.016949152542374</v>
      </c>
      <c r="E52" s="12">
        <f t="shared" si="6"/>
        <v>18.64406779661017</v>
      </c>
      <c r="F52" s="12">
        <f t="shared" si="6"/>
        <v>42.022792022792025</v>
      </c>
      <c r="G52" s="12">
        <f t="shared" si="6"/>
        <v>18.808777429467085</v>
      </c>
      <c r="H52" s="12">
        <f t="shared" si="6"/>
        <v>0</v>
      </c>
      <c r="I52" s="12">
        <f t="shared" si="6"/>
        <v>1000</v>
      </c>
    </row>
    <row r="53" spans="1:9" x14ac:dyDescent="0.2">
      <c r="A53" s="11">
        <f t="shared" si="4"/>
        <v>36</v>
      </c>
      <c r="B53" s="12">
        <f t="shared" si="6"/>
        <v>27.348394768133176</v>
      </c>
      <c r="C53" s="12">
        <f t="shared" si="6"/>
        <v>2.8105677346824058</v>
      </c>
      <c r="D53" s="12">
        <f t="shared" si="6"/>
        <v>36.016949152542374</v>
      </c>
      <c r="E53" s="12">
        <f t="shared" si="6"/>
        <v>18.64406779661017</v>
      </c>
      <c r="F53" s="12">
        <f t="shared" si="6"/>
        <v>42.022792022792025</v>
      </c>
      <c r="G53" s="12">
        <f t="shared" si="6"/>
        <v>0.78369905956112851</v>
      </c>
      <c r="H53" s="12">
        <f t="shared" si="6"/>
        <v>12.799109627156371</v>
      </c>
      <c r="I53" s="12">
        <f t="shared" si="6"/>
        <v>365.60432952495489</v>
      </c>
    </row>
    <row r="54" spans="1:9" x14ac:dyDescent="0.2">
      <c r="A54" s="11">
        <f t="shared" si="4"/>
        <v>40</v>
      </c>
      <c r="B54" s="12">
        <f t="shared" ref="B54:I63" si="7">(B25-B$27)*B$30</f>
        <v>27.94292508917955</v>
      </c>
      <c r="C54" s="12">
        <f t="shared" si="7"/>
        <v>2.8105677346824058</v>
      </c>
      <c r="D54" s="12">
        <f t="shared" si="7"/>
        <v>36.016949152542374</v>
      </c>
      <c r="E54" s="12">
        <f t="shared" si="7"/>
        <v>18.64406779661017</v>
      </c>
      <c r="F54" s="12">
        <f t="shared" si="7"/>
        <v>42.022792022792025</v>
      </c>
      <c r="G54" s="12">
        <f t="shared" si="7"/>
        <v>0.78369905956112851</v>
      </c>
      <c r="H54" s="12">
        <f t="shared" si="7"/>
        <v>25.598219254312742</v>
      </c>
      <c r="I54" s="12">
        <f t="shared" si="7"/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Gagik Navasardyan</cp:lastModifiedBy>
  <cp:revision>2</cp:revision>
  <dcterms:created xsi:type="dcterms:W3CDTF">2026-10-22T17:26:26Z</dcterms:created>
  <dcterms:modified xsi:type="dcterms:W3CDTF">2026-10-22T17:35:28Z</dcterms:modified>
  <dc:language>en-US</dc:language>
</cp:coreProperties>
</file>